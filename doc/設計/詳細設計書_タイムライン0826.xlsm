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15\Downloads\"/>
    </mc:Choice>
  </mc:AlternateContent>
  <bookViews>
    <workbookView xWindow="0" yWindow="0" windowWidth="19200" windowHeight="11610" tabRatio="758" activeTab="2"/>
  </bookViews>
  <sheets>
    <sheet name="表紙" sheetId="69" r:id="rId1"/>
    <sheet name="画面イメージ（タイムライン）" sheetId="62" r:id="rId2"/>
    <sheet name="画面イメージ_投稿表示" sheetId="71" r:id="rId3"/>
    <sheet name="改訂履歴" sheetId="70" r:id="rId4"/>
    <sheet name="IO関連" sheetId="64" r:id="rId5"/>
    <sheet name="画面項目" sheetId="65" r:id="rId6"/>
    <sheet name="イベント処理" sheetId="67" r:id="rId7"/>
    <sheet name="DB処理" sheetId="66" r:id="rId8"/>
  </sheets>
  <calcPr calcId="152511"/>
</workbook>
</file>

<file path=xl/calcChain.xml><?xml version="1.0" encoding="utf-8"?>
<calcChain xmlns="http://schemas.openxmlformats.org/spreadsheetml/2006/main">
  <c r="AQ2" i="71" l="1"/>
  <c r="AC2" i="71"/>
  <c r="O2" i="71"/>
  <c r="AQ1" i="71"/>
  <c r="AC1" i="71"/>
  <c r="O1" i="71"/>
  <c r="O1" i="62"/>
  <c r="O1" i="66"/>
  <c r="AC1" i="66"/>
  <c r="AQ1" i="66"/>
  <c r="O2" i="66"/>
  <c r="AC2" i="66"/>
  <c r="AQ2" i="66"/>
  <c r="O1" i="64"/>
  <c r="AC1" i="64"/>
  <c r="AQ1" i="64"/>
  <c r="O2" i="64"/>
  <c r="AC2" i="64"/>
  <c r="AQ2" i="64"/>
  <c r="A22" i="64"/>
  <c r="A23" i="64"/>
  <c r="A24" i="64"/>
  <c r="A25" i="64"/>
  <c r="A26" i="64"/>
  <c r="A27" i="64"/>
  <c r="A28" i="64"/>
  <c r="A29" i="64"/>
  <c r="A30" i="64"/>
  <c r="A33" i="64"/>
  <c r="A34" i="64"/>
  <c r="A35" i="64"/>
  <c r="A36" i="64"/>
  <c r="A37" i="64"/>
  <c r="A38" i="64"/>
  <c r="A39" i="64"/>
  <c r="A40" i="64"/>
  <c r="A41" i="64"/>
  <c r="A44" i="64"/>
  <c r="A45" i="64"/>
  <c r="A46" i="64"/>
  <c r="A47" i="64"/>
  <c r="A48" i="64"/>
  <c r="A49" i="64"/>
  <c r="A50" i="64"/>
  <c r="A51" i="64"/>
  <c r="A52" i="64"/>
  <c r="O1" i="67"/>
  <c r="AC1" i="67"/>
  <c r="AQ1" i="67"/>
  <c r="O2" i="67"/>
  <c r="AC2" i="67"/>
  <c r="AQ2" i="67"/>
  <c r="AC1" i="62"/>
  <c r="AQ1" i="62"/>
  <c r="O2" i="62"/>
  <c r="AC2" i="62"/>
  <c r="AQ2" i="62"/>
  <c r="R1" i="65"/>
  <c r="AF1" i="65"/>
  <c r="AT1" i="65"/>
  <c r="R2" i="65"/>
  <c r="AF2" i="65"/>
  <c r="AT2" i="65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  <c r="AC1" i="70"/>
  <c r="AQ1" i="70"/>
  <c r="AC2" i="70"/>
  <c r="AQ2" i="70"/>
  <c r="A5" i="70"/>
  <c r="A6" i="70"/>
  <c r="A7" i="70"/>
  <c r="A8" i="70"/>
  <c r="A9" i="70"/>
  <c r="A10" i="70"/>
  <c r="A11" i="70"/>
  <c r="A12" i="70"/>
  <c r="A13" i="70"/>
  <c r="A14" i="70"/>
  <c r="A15" i="70"/>
  <c r="A16" i="70"/>
  <c r="A17" i="70"/>
  <c r="A18" i="70"/>
  <c r="A19" i="70"/>
  <c r="A20" i="70"/>
  <c r="A21" i="70"/>
  <c r="A22" i="70"/>
  <c r="A23" i="70"/>
  <c r="A24" i="70"/>
  <c r="A25" i="70"/>
  <c r="A26" i="70"/>
  <c r="A27" i="70"/>
  <c r="A28" i="70"/>
  <c r="A29" i="70"/>
  <c r="A30" i="70"/>
  <c r="A31" i="70"/>
  <c r="A32" i="70"/>
  <c r="A33" i="70"/>
  <c r="A34" i="70"/>
  <c r="A35" i="70"/>
  <c r="A36" i="70"/>
  <c r="A37" i="70"/>
  <c r="A38" i="70"/>
  <c r="A39" i="70"/>
  <c r="A40" i="70"/>
  <c r="A41" i="70"/>
  <c r="A42" i="70"/>
  <c r="A43" i="70"/>
  <c r="A44" i="70"/>
  <c r="A45" i="70"/>
  <c r="A46" i="70"/>
  <c r="A47" i="70"/>
  <c r="A48" i="70"/>
  <c r="A49" i="70"/>
  <c r="A50" i="70"/>
  <c r="A51" i="70"/>
  <c r="A52" i="70"/>
</calcChain>
</file>

<file path=xl/sharedStrings.xml><?xml version="1.0" encoding="utf-8"?>
<sst xmlns="http://schemas.openxmlformats.org/spreadsheetml/2006/main" count="226" uniqueCount="147">
  <si>
    <t>システム名称</t>
    <rPh sb="4" eb="6">
      <t>メイショウ</t>
    </rPh>
    <phoneticPr fontId="2"/>
  </si>
  <si>
    <t>改訂日</t>
    <rPh sb="0" eb="2">
      <t>カイテイ</t>
    </rPh>
    <rPh sb="2" eb="3">
      <t>ビ</t>
    </rPh>
    <phoneticPr fontId="2"/>
  </si>
  <si>
    <t>備考</t>
    <rPh sb="0" eb="2">
      <t>ビコウ</t>
    </rPh>
    <phoneticPr fontId="2"/>
  </si>
  <si>
    <t>論理名称</t>
    <rPh sb="0" eb="2">
      <t>ロンリ</t>
    </rPh>
    <rPh sb="2" eb="4">
      <t>メイショウ</t>
    </rPh>
    <phoneticPr fontId="2"/>
  </si>
  <si>
    <t>物理名称</t>
    <rPh sb="0" eb="2">
      <t>ブツリ</t>
    </rPh>
    <rPh sb="2" eb="4">
      <t>メイショウ</t>
    </rPh>
    <phoneticPr fontId="2"/>
  </si>
  <si>
    <t>詳細設計書</t>
    <rPh sb="0" eb="2">
      <t>ショウサイ</t>
    </rPh>
    <rPh sb="2" eb="4">
      <t>セッケイ</t>
    </rPh>
    <rPh sb="4" eb="5">
      <t>ショ</t>
    </rPh>
    <phoneticPr fontId="2"/>
  </si>
  <si>
    <t>システムID</t>
    <phoneticPr fontId="2"/>
  </si>
  <si>
    <t>テーブル一覧</t>
    <rPh sb="4" eb="6">
      <t>イチラン</t>
    </rPh>
    <phoneticPr fontId="2"/>
  </si>
  <si>
    <t>No</t>
    <phoneticPr fontId="2"/>
  </si>
  <si>
    <t>I/O</t>
    <phoneticPr fontId="2"/>
  </si>
  <si>
    <t>I/O関連図</t>
    <rPh sb="3" eb="5">
      <t>カンレン</t>
    </rPh>
    <rPh sb="5" eb="6">
      <t>ズ</t>
    </rPh>
    <phoneticPr fontId="2"/>
  </si>
  <si>
    <t>ファイル一覧</t>
    <rPh sb="4" eb="6">
      <t>イチラン</t>
    </rPh>
    <phoneticPr fontId="2"/>
  </si>
  <si>
    <t>パラメータ一覧</t>
    <rPh sb="5" eb="7">
      <t>イチラン</t>
    </rPh>
    <phoneticPr fontId="2"/>
  </si>
  <si>
    <t>システムID</t>
    <phoneticPr fontId="2"/>
  </si>
  <si>
    <t>No</t>
    <phoneticPr fontId="2"/>
  </si>
  <si>
    <t>画面項目</t>
    <rPh sb="0" eb="2">
      <t>ガメン</t>
    </rPh>
    <rPh sb="2" eb="4">
      <t>コウモク</t>
    </rPh>
    <phoneticPr fontId="2"/>
  </si>
  <si>
    <t>項目名称</t>
    <rPh sb="0" eb="2">
      <t>コウモク</t>
    </rPh>
    <rPh sb="2" eb="4">
      <t>メイショウ</t>
    </rPh>
    <phoneticPr fontId="2"/>
  </si>
  <si>
    <t>分類</t>
    <rPh sb="0" eb="2">
      <t>ブンルイ</t>
    </rPh>
    <phoneticPr fontId="2"/>
  </si>
  <si>
    <t>桁数</t>
    <rPh sb="0" eb="2">
      <t>ケタスウ</t>
    </rPh>
    <phoneticPr fontId="2"/>
  </si>
  <si>
    <t>フォーマット</t>
    <phoneticPr fontId="2"/>
  </si>
  <si>
    <t>テーブル</t>
    <phoneticPr fontId="2"/>
  </si>
  <si>
    <t>フィールド</t>
    <phoneticPr fontId="2"/>
  </si>
  <si>
    <t>必須</t>
    <rPh sb="0" eb="2">
      <t>ヒッス</t>
    </rPh>
    <phoneticPr fontId="2"/>
  </si>
  <si>
    <t>抽出項目</t>
    <rPh sb="0" eb="2">
      <t>チュウシュツ</t>
    </rPh>
    <rPh sb="2" eb="4">
      <t>コウモク</t>
    </rPh>
    <phoneticPr fontId="2"/>
  </si>
  <si>
    <t>抽出対象</t>
    <rPh sb="2" eb="4">
      <t>タイショウ</t>
    </rPh>
    <phoneticPr fontId="2"/>
  </si>
  <si>
    <t>抽出条件</t>
    <rPh sb="2" eb="4">
      <t>ジョウケン</t>
    </rPh>
    <phoneticPr fontId="2"/>
  </si>
  <si>
    <t>初期表示処理</t>
    <rPh sb="0" eb="2">
      <t>ショキ</t>
    </rPh>
    <rPh sb="2" eb="4">
      <t>ヒョウジ</t>
    </rPh>
    <rPh sb="4" eb="6">
      <t>ショリ</t>
    </rPh>
    <phoneticPr fontId="2"/>
  </si>
  <si>
    <t>改訂者</t>
    <rPh sb="0" eb="2">
      <t>カイテイ</t>
    </rPh>
    <rPh sb="2" eb="3">
      <t>シャ</t>
    </rPh>
    <phoneticPr fontId="2"/>
  </si>
  <si>
    <t>改定日</t>
    <rPh sb="0" eb="3">
      <t>カイテイビ</t>
    </rPh>
    <phoneticPr fontId="2"/>
  </si>
  <si>
    <t>システムID</t>
    <phoneticPr fontId="2"/>
  </si>
  <si>
    <t>論理名称</t>
    <phoneticPr fontId="2"/>
  </si>
  <si>
    <t>物理名称</t>
    <phoneticPr fontId="2"/>
  </si>
  <si>
    <t>システムID</t>
    <phoneticPr fontId="2"/>
  </si>
  <si>
    <t>改訂日</t>
  </si>
  <si>
    <t>改訂者</t>
  </si>
  <si>
    <t>対象</t>
  </si>
  <si>
    <t>改訂内容</t>
  </si>
  <si>
    <t>項番</t>
    <phoneticPr fontId="3"/>
  </si>
  <si>
    <t>管理番号</t>
    <rPh sb="0" eb="2">
      <t>カンリ</t>
    </rPh>
    <rPh sb="2" eb="4">
      <t>バンゴウ</t>
    </rPh>
    <phoneticPr fontId="2"/>
  </si>
  <si>
    <t>○○ボタン[クリック]処理</t>
    <phoneticPr fontId="2"/>
  </si>
  <si>
    <t>○○データ抽出処理</t>
    <rPh sb="5" eb="7">
      <t>チュウシュツ</t>
    </rPh>
    <rPh sb="7" eb="9">
      <t>ショリ</t>
    </rPh>
    <phoneticPr fontId="2"/>
  </si>
  <si>
    <t>saitama_ict_05</t>
    <phoneticPr fontId="2"/>
  </si>
  <si>
    <t>saitama_ict_practice_project</t>
    <phoneticPr fontId="2"/>
  </si>
  <si>
    <t>【訓練生用】Webアプリ開発</t>
    <phoneticPr fontId="2"/>
  </si>
  <si>
    <t>画面名</t>
    <rPh sb="0" eb="2">
      <t>ガメン</t>
    </rPh>
    <rPh sb="2" eb="3">
      <t>メイ</t>
    </rPh>
    <phoneticPr fontId="2"/>
  </si>
  <si>
    <t>プログラムの時に記載する識別名（機能の英名先頭３文字+01）</t>
    <rPh sb="6" eb="7">
      <t>トキ</t>
    </rPh>
    <rPh sb="8" eb="10">
      <t>キサイ</t>
    </rPh>
    <rPh sb="12" eb="14">
      <t>シキベツ</t>
    </rPh>
    <rPh sb="14" eb="15">
      <t>メイ</t>
    </rPh>
    <rPh sb="16" eb="18">
      <t>キノウ</t>
    </rPh>
    <rPh sb="19" eb="21">
      <t>エイメイ</t>
    </rPh>
    <rPh sb="21" eb="23">
      <t>セントウ</t>
    </rPh>
    <rPh sb="24" eb="26">
      <t>モジ</t>
    </rPh>
    <phoneticPr fontId="2"/>
  </si>
  <si>
    <t>ボタン</t>
    <phoneticPr fontId="2"/>
  </si>
  <si>
    <t>〇</t>
  </si>
  <si>
    <t>テキストボックス</t>
    <phoneticPr fontId="2"/>
  </si>
  <si>
    <t>1.1</t>
    <phoneticPr fontId="2"/>
  </si>
  <si>
    <t>ラベル</t>
    <phoneticPr fontId="2"/>
  </si>
  <si>
    <t>名前ラベル：「名前」と表示</t>
    <rPh sb="0" eb="2">
      <t>ナマエ</t>
    </rPh>
    <rPh sb="7" eb="9">
      <t>ナマエ</t>
    </rPh>
    <rPh sb="11" eb="13">
      <t>ヒョウジ</t>
    </rPh>
    <phoneticPr fontId="2"/>
  </si>
  <si>
    <t>登録ボタン[クリック]処理</t>
    <rPh sb="0" eb="2">
      <t>トウロク</t>
    </rPh>
    <phoneticPr fontId="2"/>
  </si>
  <si>
    <t>名前入力テキストボックスに入力された値を引数にAPI：〇〇を実行</t>
    <rPh sb="0" eb="2">
      <t>ナマエ</t>
    </rPh>
    <rPh sb="2" eb="4">
      <t>ニュウリョク</t>
    </rPh>
    <rPh sb="13" eb="15">
      <t>ニュウリョク</t>
    </rPh>
    <rPh sb="18" eb="19">
      <t>アタイ</t>
    </rPh>
    <rPh sb="20" eb="22">
      <t>ヒキスウ</t>
    </rPh>
    <rPh sb="30" eb="32">
      <t>ジッコウ</t>
    </rPh>
    <phoneticPr fontId="2"/>
  </si>
  <si>
    <t>API成功時：</t>
    <rPh sb="3" eb="5">
      <t>セイコウ</t>
    </rPh>
    <rPh sb="5" eb="6">
      <t>ジ</t>
    </rPh>
    <phoneticPr fontId="2"/>
  </si>
  <si>
    <t>〇〇画面に遷移する</t>
    <rPh sb="2" eb="4">
      <t>ガメン</t>
    </rPh>
    <rPh sb="5" eb="7">
      <t>センイ</t>
    </rPh>
    <phoneticPr fontId="2"/>
  </si>
  <si>
    <t>API失敗時：</t>
    <rPh sb="3" eb="5">
      <t>シッパイ</t>
    </rPh>
    <rPh sb="5" eb="6">
      <t>ジ</t>
    </rPh>
    <phoneticPr fontId="2"/>
  </si>
  <si>
    <t>エラーメッセージを表示する</t>
    <rPh sb="9" eb="11">
      <t>ヒョウジ</t>
    </rPh>
    <phoneticPr fontId="2"/>
  </si>
  <si>
    <t>〇〇画面詳細設計書</t>
    <rPh sb="2" eb="4">
      <t>ガメン</t>
    </rPh>
    <rPh sb="4" eb="6">
      <t>ショウサイ</t>
    </rPh>
    <rPh sb="6" eb="8">
      <t>セッケイ</t>
    </rPh>
    <rPh sb="8" eb="9">
      <t>ショ</t>
    </rPh>
    <phoneticPr fontId="2"/>
  </si>
  <si>
    <t>画面イメージ：タイムライン画面</t>
    <rPh sb="13" eb="15">
      <t>ガメン</t>
    </rPh>
    <phoneticPr fontId="2"/>
  </si>
  <si>
    <t>マイページ</t>
    <phoneticPr fontId="2"/>
  </si>
  <si>
    <t>ログアウト</t>
    <phoneticPr fontId="2"/>
  </si>
  <si>
    <t>検索</t>
    <rPh sb="0" eb="2">
      <t>ケンサク</t>
    </rPh>
    <phoneticPr fontId="2"/>
  </si>
  <si>
    <t>search</t>
    <phoneticPr fontId="2"/>
  </si>
  <si>
    <t>postlabel</t>
    <phoneticPr fontId="2"/>
  </si>
  <si>
    <t>rogout</t>
    <phoneticPr fontId="2"/>
  </si>
  <si>
    <t>mypage</t>
    <phoneticPr fontId="2"/>
  </si>
  <si>
    <t>my</t>
    <phoneticPr fontId="2"/>
  </si>
  <si>
    <t>投稿文</t>
    <rPh sb="0" eb="2">
      <t>トウコウ</t>
    </rPh>
    <rPh sb="2" eb="3">
      <t>ブン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</si>
  <si>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</si>
  <si>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</si>
  <si>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</si>
  <si>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</si>
  <si>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</si>
  <si>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</si>
  <si>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識別ID</t>
    <rPh sb="0" eb="2">
      <t>シキベツ</t>
    </rPh>
    <phoneticPr fontId="2"/>
  </si>
  <si>
    <t>画面部品の種類</t>
    <rPh sb="0" eb="2">
      <t>ガメン</t>
    </rPh>
    <rPh sb="2" eb="4">
      <t>ブヒン</t>
    </rPh>
    <rPh sb="5" eb="7">
      <t>シュルイ</t>
    </rPh>
    <phoneticPr fontId="2"/>
  </si>
  <si>
    <t>画面部品の説明</t>
    <rPh sb="0" eb="2">
      <t>ガメン</t>
    </rPh>
    <rPh sb="2" eb="4">
      <t>ブヒン</t>
    </rPh>
    <rPh sb="5" eb="7">
      <t>セツメイ</t>
    </rPh>
    <phoneticPr fontId="2"/>
  </si>
  <si>
    <t>表示範囲</t>
    <rPh sb="0" eb="2">
      <t>ヒョウジ</t>
    </rPh>
    <rPh sb="2" eb="4">
      <t>ハンイ</t>
    </rPh>
    <phoneticPr fontId="2"/>
  </si>
  <si>
    <t>ログアウト処理を起動するボタン</t>
    <rPh sb="5" eb="7">
      <t>ショリ</t>
    </rPh>
    <rPh sb="8" eb="10">
      <t>キドウ</t>
    </rPh>
    <phoneticPr fontId="2"/>
  </si>
  <si>
    <t>マイページ画面へ移行するボタン</t>
    <rPh sb="5" eb="7">
      <t>ガメン</t>
    </rPh>
    <rPh sb="8" eb="10">
      <t>イコウ</t>
    </rPh>
    <phoneticPr fontId="2"/>
  </si>
  <si>
    <t>⑦</t>
    <phoneticPr fontId="2"/>
  </si>
  <si>
    <t>使用する部品</t>
    <rPh sb="0" eb="2">
      <t>シヨウ</t>
    </rPh>
    <rPh sb="4" eb="6">
      <t>ブヒン</t>
    </rPh>
    <phoneticPr fontId="2"/>
  </si>
  <si>
    <t>ログイン処理後に表示されるTOPページの画面。使用する部品には、下記の７つがある。</t>
    <rPh sb="4" eb="6">
      <t>ショリ</t>
    </rPh>
    <rPh sb="6" eb="7">
      <t>ゴ</t>
    </rPh>
    <rPh sb="8" eb="10">
      <t>ヒョウジ</t>
    </rPh>
    <rPh sb="20" eb="22">
      <t>ガメン</t>
    </rPh>
    <rPh sb="23" eb="25">
      <t>シヨウ</t>
    </rPh>
    <rPh sb="27" eb="29">
      <t>ブヒン</t>
    </rPh>
    <rPh sb="32" eb="34">
      <t>カキ</t>
    </rPh>
    <phoneticPr fontId="2"/>
  </si>
  <si>
    <t>⑧</t>
    <phoneticPr fontId="2"/>
  </si>
  <si>
    <t>サイト内の内容を検索する、ENTERで検索処理をする</t>
    <rPh sb="3" eb="4">
      <t>ナイ</t>
    </rPh>
    <rPh sb="5" eb="7">
      <t>ナイヨウ</t>
    </rPh>
    <rPh sb="8" eb="10">
      <t>ケンサク</t>
    </rPh>
    <rPh sb="19" eb="21">
      <t>ケンサク</t>
    </rPh>
    <rPh sb="21" eb="23">
      <t>ショリ</t>
    </rPh>
    <phoneticPr fontId="2"/>
  </si>
  <si>
    <t>投稿記事&lt;&lt; &gt;&gt;ボタン</t>
    <rPh sb="0" eb="2">
      <t>トウコウ</t>
    </rPh>
    <rPh sb="2" eb="4">
      <t>キジ</t>
    </rPh>
    <phoneticPr fontId="2"/>
  </si>
  <si>
    <t>ヘッダー</t>
    <phoneticPr fontId="2"/>
  </si>
  <si>
    <t>ラベル</t>
    <phoneticPr fontId="2"/>
  </si>
  <si>
    <t>head</t>
    <phoneticPr fontId="2"/>
  </si>
  <si>
    <t>投稿記事</t>
    <rPh sb="0" eb="2">
      <t>トウコウ</t>
    </rPh>
    <rPh sb="2" eb="4">
      <t>キジ</t>
    </rPh>
    <phoneticPr fontId="2"/>
  </si>
  <si>
    <t>投稿記事&lt;&lt;&gt;&gt;</t>
    <rPh sb="0" eb="2">
      <t>トウコウ</t>
    </rPh>
    <rPh sb="2" eb="4">
      <t>キジ</t>
    </rPh>
    <phoneticPr fontId="2"/>
  </si>
  <si>
    <t>ボタン</t>
    <phoneticPr fontId="2"/>
  </si>
  <si>
    <t>スクロール</t>
    <phoneticPr fontId="2"/>
  </si>
  <si>
    <t>ボタン</t>
    <phoneticPr fontId="2"/>
  </si>
  <si>
    <t>scroll</t>
    <phoneticPr fontId="2"/>
  </si>
  <si>
    <t>ボタン</t>
    <phoneticPr fontId="2"/>
  </si>
  <si>
    <t>記事を押せば投稿表示のページへ移行</t>
    <rPh sb="0" eb="2">
      <t>キジ</t>
    </rPh>
    <rPh sb="3" eb="4">
      <t>オ</t>
    </rPh>
    <rPh sb="6" eb="8">
      <t>トウコウ</t>
    </rPh>
    <rPh sb="8" eb="10">
      <t>ヒョウジ</t>
    </rPh>
    <rPh sb="15" eb="17">
      <t>イコウ</t>
    </rPh>
    <phoneticPr fontId="2"/>
  </si>
  <si>
    <t>ヘッダー</t>
    <phoneticPr fontId="2"/>
  </si>
  <si>
    <t>ラベル</t>
    <phoneticPr fontId="2"/>
  </si>
  <si>
    <t>サイトのヘッダー部分。固定されてる方がみやすい？</t>
    <rPh sb="8" eb="10">
      <t>ブブン</t>
    </rPh>
    <rPh sb="11" eb="13">
      <t>コテイ</t>
    </rPh>
    <rPh sb="17" eb="18">
      <t>ホウ</t>
    </rPh>
    <phoneticPr fontId="2"/>
  </si>
  <si>
    <t>投稿文</t>
    <rPh sb="0" eb="2">
      <t>トウコウ</t>
    </rPh>
    <rPh sb="2" eb="3">
      <t>ブン</t>
    </rPh>
    <phoneticPr fontId="2"/>
  </si>
  <si>
    <t>タグ</t>
    <phoneticPr fontId="2"/>
  </si>
  <si>
    <t>ラベル</t>
    <phoneticPr fontId="2"/>
  </si>
  <si>
    <t>ボタン</t>
    <phoneticPr fontId="2"/>
  </si>
  <si>
    <t>post</t>
    <phoneticPr fontId="2"/>
  </si>
  <si>
    <t>posttitle</t>
    <phoneticPr fontId="2"/>
  </si>
  <si>
    <t>tag</t>
    <phoneticPr fontId="2"/>
  </si>
  <si>
    <t>スクロール</t>
    <phoneticPr fontId="2"/>
  </si>
  <si>
    <t>上下スクロールできるバー</t>
    <rPh sb="0" eb="1">
      <t>ウエ</t>
    </rPh>
    <rPh sb="1" eb="2">
      <t>シタ</t>
    </rPh>
    <phoneticPr fontId="2"/>
  </si>
  <si>
    <t>タグ</t>
    <phoneticPr fontId="2"/>
  </si>
  <si>
    <t>ボタン</t>
    <phoneticPr fontId="2"/>
  </si>
  <si>
    <t>その投稿記事対してキーワードをつけて、DB上の検索処理をしやすいようにする。</t>
    <rPh sb="2" eb="4">
      <t>トウコウ</t>
    </rPh>
    <rPh sb="4" eb="6">
      <t>キジ</t>
    </rPh>
    <rPh sb="6" eb="7">
      <t>タイ</t>
    </rPh>
    <rPh sb="21" eb="22">
      <t>ジョウ</t>
    </rPh>
    <rPh sb="23" eb="25">
      <t>ケンサク</t>
    </rPh>
    <rPh sb="25" eb="27">
      <t>ショリ</t>
    </rPh>
    <phoneticPr fontId="2"/>
  </si>
  <si>
    <t>ラベル</t>
    <phoneticPr fontId="2"/>
  </si>
  <si>
    <t>⑩</t>
    <phoneticPr fontId="2"/>
  </si>
  <si>
    <t>⑪</t>
    <phoneticPr fontId="2"/>
  </si>
  <si>
    <t>⑫</t>
    <phoneticPr fontId="2"/>
  </si>
  <si>
    <t>⑬</t>
    <phoneticPr fontId="2"/>
  </si>
  <si>
    <t>投稿者</t>
    <rPh sb="0" eb="2">
      <t>トウコウ</t>
    </rPh>
    <rPh sb="2" eb="3">
      <t>シャ</t>
    </rPh>
    <phoneticPr fontId="2"/>
  </si>
  <si>
    <t>ラベル</t>
    <phoneticPr fontId="2"/>
  </si>
  <si>
    <t>⑧の投稿者に関する情報　画像、ユーザ名を表示する</t>
    <rPh sb="2" eb="4">
      <t>トウコウ</t>
    </rPh>
    <rPh sb="4" eb="5">
      <t>シャ</t>
    </rPh>
    <rPh sb="6" eb="7">
      <t>カン</t>
    </rPh>
    <rPh sb="9" eb="11">
      <t>ジョウホウ</t>
    </rPh>
    <rPh sb="12" eb="14">
      <t>ガゾウ</t>
    </rPh>
    <rPh sb="18" eb="19">
      <t>メイ</t>
    </rPh>
    <rPh sb="20" eb="22">
      <t>ヒョウジ</t>
    </rPh>
    <phoneticPr fontId="2"/>
  </si>
  <si>
    <t>コメントボックス</t>
    <phoneticPr fontId="2"/>
  </si>
  <si>
    <t>テキストボックス</t>
    <phoneticPr fontId="2"/>
  </si>
  <si>
    <t>コメント投稿</t>
    <rPh sb="4" eb="6">
      <t>トウコウ</t>
    </rPh>
    <phoneticPr fontId="2"/>
  </si>
  <si>
    <t>ボタン</t>
    <phoneticPr fontId="2"/>
  </si>
  <si>
    <t>コメントボックスの内容を送信する</t>
    <rPh sb="9" eb="11">
      <t>ナイヨウ</t>
    </rPh>
    <rPh sb="12" eb="14">
      <t>ソウシン</t>
    </rPh>
    <phoneticPr fontId="2"/>
  </si>
  <si>
    <t>投稿者</t>
    <rPh sb="0" eb="3">
      <t>トウコウシャ</t>
    </rPh>
    <phoneticPr fontId="2"/>
  </si>
  <si>
    <t>コメントボックス</t>
    <phoneticPr fontId="2"/>
  </si>
  <si>
    <t>ラベル</t>
    <phoneticPr fontId="2"/>
  </si>
  <si>
    <t>テキストボックス</t>
    <phoneticPr fontId="2"/>
  </si>
  <si>
    <t>ボタン</t>
    <phoneticPr fontId="2"/>
  </si>
  <si>
    <t>postuser</t>
    <phoneticPr fontId="2"/>
  </si>
  <si>
    <t>commentbox</t>
    <phoneticPr fontId="2"/>
  </si>
  <si>
    <t>comment</t>
    <phoneticPr fontId="2"/>
  </si>
  <si>
    <t>投稿記事のタイトルが20行/1ページ分　で並んでる。20行分より以前、以降に投稿されたタイトル一覧のページへ移行するボタン</t>
    <rPh sb="28" eb="29">
      <t>ギョウ</t>
    </rPh>
    <rPh sb="29" eb="30">
      <t>ブン</t>
    </rPh>
    <rPh sb="32" eb="34">
      <t>イゼン</t>
    </rPh>
    <rPh sb="35" eb="37">
      <t>イコウ</t>
    </rPh>
    <rPh sb="38" eb="40">
      <t>トウコウ</t>
    </rPh>
    <rPh sb="47" eb="49">
      <t>イチラン</t>
    </rPh>
    <rPh sb="54" eb="56">
      <t>イコウ</t>
    </rPh>
    <phoneticPr fontId="2"/>
  </si>
  <si>
    <t>ログイン状態のときのみ、該当記事に対してコメントを入力するフォーム　50文字まで</t>
    <rPh sb="4" eb="6">
      <t>ジョウタイ</t>
    </rPh>
    <rPh sb="12" eb="14">
      <t>ガイトウ</t>
    </rPh>
    <rPh sb="14" eb="16">
      <t>キジ</t>
    </rPh>
    <rPh sb="17" eb="18">
      <t>タイ</t>
    </rPh>
    <rPh sb="25" eb="27">
      <t>ニュウリョク</t>
    </rPh>
    <rPh sb="36" eb="38">
      <t>モジ</t>
    </rPh>
    <phoneticPr fontId="2"/>
  </si>
  <si>
    <t>スクロール</t>
    <phoneticPr fontId="2"/>
  </si>
  <si>
    <t>投稿詳細（画面追加）</t>
    <rPh sb="0" eb="2">
      <t>トウコウ</t>
    </rPh>
    <rPh sb="2" eb="4">
      <t>ショウサイ</t>
    </rPh>
    <rPh sb="5" eb="7">
      <t>ガメン</t>
    </rPh>
    <rPh sb="7" eb="9">
      <t>ツイカ</t>
    </rPh>
    <phoneticPr fontId="2"/>
  </si>
  <si>
    <t>記事一覧</t>
    <rPh sb="0" eb="2">
      <t>キジ</t>
    </rPh>
    <rPh sb="2" eb="4">
      <t>イチラン</t>
    </rPh>
    <phoneticPr fontId="2"/>
  </si>
  <si>
    <t>スクロールつけました</t>
    <phoneticPr fontId="2"/>
  </si>
  <si>
    <t>設計ページが増えました</t>
    <rPh sb="0" eb="2">
      <t>セッケイ</t>
    </rPh>
    <rPh sb="6" eb="7">
      <t>フ</t>
    </rPh>
    <phoneticPr fontId="2"/>
  </si>
  <si>
    <t>タイムラインの記事はタイトル、名前、投稿日のみにし、詳細を投稿詳細に表示</t>
    <rPh sb="7" eb="9">
      <t>キジ</t>
    </rPh>
    <rPh sb="15" eb="17">
      <t>ナマエ</t>
    </rPh>
    <rPh sb="18" eb="20">
      <t>トウコウ</t>
    </rPh>
    <rPh sb="20" eb="21">
      <t>ビ</t>
    </rPh>
    <rPh sb="26" eb="28">
      <t>ショウサイ</t>
    </rPh>
    <rPh sb="29" eb="31">
      <t>トウコウ</t>
    </rPh>
    <rPh sb="31" eb="33">
      <t>ショウサイ</t>
    </rPh>
    <rPh sb="34" eb="36">
      <t>ヒョウジ</t>
    </rPh>
    <phoneticPr fontId="2"/>
  </si>
  <si>
    <t>my</t>
    <phoneticPr fontId="2"/>
  </si>
  <si>
    <t>コメント</t>
    <phoneticPr fontId="2"/>
  </si>
  <si>
    <t>投稿画面に入力された内容を反映する　タイトル、投稿日時、本文にわけて表示。本文は40行までらしい　下記にコメント表示、コメントボックス、コメント投稿ボタン有　コメントは1記事につき5行まで</t>
    <rPh sb="0" eb="2">
      <t>トウコウ</t>
    </rPh>
    <rPh sb="2" eb="4">
      <t>ガメン</t>
    </rPh>
    <rPh sb="5" eb="7">
      <t>ニュウリョク</t>
    </rPh>
    <rPh sb="10" eb="12">
      <t>ナイヨウ</t>
    </rPh>
    <rPh sb="13" eb="15">
      <t>ハンエイ</t>
    </rPh>
    <rPh sb="23" eb="25">
      <t>トウコウ</t>
    </rPh>
    <rPh sb="25" eb="27">
      <t>ニチジ</t>
    </rPh>
    <rPh sb="28" eb="30">
      <t>ホンブン</t>
    </rPh>
    <rPh sb="34" eb="36">
      <t>ヒョウジ</t>
    </rPh>
    <rPh sb="37" eb="39">
      <t>ホンブン</t>
    </rPh>
    <rPh sb="42" eb="43">
      <t>ギョウ</t>
    </rPh>
    <rPh sb="49" eb="51">
      <t>カキ</t>
    </rPh>
    <rPh sb="56" eb="58">
      <t>ヒョウジ</t>
    </rPh>
    <rPh sb="72" eb="74">
      <t>トウコウ</t>
    </rPh>
    <rPh sb="77" eb="78">
      <t>アリ</t>
    </rPh>
    <rPh sb="85" eb="87">
      <t>キジ</t>
    </rPh>
    <rPh sb="91" eb="92">
      <t>ギョウ</t>
    </rPh>
    <phoneticPr fontId="2"/>
  </si>
  <si>
    <t>1ページあたりの表示件数を調整（減）</t>
    <rPh sb="8" eb="10">
      <t>ヒョウジ</t>
    </rPh>
    <rPh sb="10" eb="12">
      <t>ケンスウ</t>
    </rPh>
    <rPh sb="13" eb="15">
      <t>チョウセイ</t>
    </rPh>
    <rPh sb="16" eb="17">
      <t>ゲン</t>
    </rPh>
    <phoneticPr fontId="2"/>
  </si>
  <si>
    <t>コメントフォームの文字数を調整</t>
    <rPh sb="9" eb="12">
      <t>モジスウ</t>
    </rPh>
    <rPh sb="13" eb="15">
      <t>チョウセイ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</si>
</sst>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1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indexed="9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indexed="9"/>
      <name val="ＭＳ ゴシック"/>
      <family val="3"/>
      <charset val="128"/>
    </font>
    <font>
      <sz val="26"/>
      <name val="ＭＳ ゴシック"/>
      <family val="3"/>
      <charset val="128"/>
    </font>
    <font>
      <sz val="10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10" fillId="0" borderId="0"/>
    <xf numFmtId="0" fontId="7" fillId="0" borderId="0"/>
    <xf numFmtId="0" fontId="1" fillId="0" borderId="0"/>
  </cellStyleXfs>
  <cellXfs count="171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5" fillId="0" borderId="4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5" fillId="0" borderId="6" xfId="0" applyFont="1" applyBorder="1" applyAlignment="1">
      <alignment vertical="top"/>
    </xf>
    <xf numFmtId="0" fontId="5" fillId="0" borderId="7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5" fillId="0" borderId="4" xfId="0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0" fontId="5" fillId="0" borderId="9" xfId="0" applyFont="1" applyBorder="1" applyAlignment="1">
      <alignment vertical="top"/>
    </xf>
    <xf numFmtId="0" fontId="6" fillId="2" borderId="10" xfId="0" applyFont="1" applyFill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0" fontId="6" fillId="2" borderId="12" xfId="0" applyFont="1" applyFill="1" applyBorder="1" applyAlignment="1">
      <alignment vertical="center"/>
    </xf>
    <xf numFmtId="0" fontId="6" fillId="2" borderId="9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6" fillId="2" borderId="10" xfId="0" applyFont="1" applyFill="1" applyBorder="1" applyAlignment="1">
      <alignment vertical="top"/>
    </xf>
    <xf numFmtId="0" fontId="6" fillId="2" borderId="11" xfId="0" applyFont="1" applyFill="1" applyBorder="1" applyAlignment="1">
      <alignment vertical="top"/>
    </xf>
    <xf numFmtId="0" fontId="6" fillId="2" borderId="12" xfId="0" applyFont="1" applyFill="1" applyBorder="1" applyAlignment="1">
      <alignment vertical="top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2" borderId="8" xfId="0" applyFont="1" applyFill="1" applyBorder="1" applyAlignment="1">
      <alignment vertical="center"/>
    </xf>
    <xf numFmtId="0" fontId="5" fillId="0" borderId="1" xfId="0" applyFont="1" applyFill="1" applyBorder="1" applyAlignment="1">
      <alignment vertical="top"/>
    </xf>
    <xf numFmtId="0" fontId="5" fillId="0" borderId="2" xfId="0" applyFont="1" applyFill="1" applyBorder="1" applyAlignment="1">
      <alignment vertical="top"/>
    </xf>
    <xf numFmtId="0" fontId="5" fillId="0" borderId="3" xfId="0" applyFont="1" applyFill="1" applyBorder="1" applyAlignment="1">
      <alignment vertical="top"/>
    </xf>
    <xf numFmtId="0" fontId="5" fillId="0" borderId="5" xfId="0" applyFont="1" applyFill="1" applyBorder="1" applyAlignment="1">
      <alignment vertical="top"/>
    </xf>
    <xf numFmtId="0" fontId="5" fillId="0" borderId="6" xfId="0" applyFont="1" applyFill="1" applyBorder="1" applyAlignment="1">
      <alignment vertical="top"/>
    </xf>
    <xf numFmtId="0" fontId="5" fillId="0" borderId="7" xfId="0" applyFont="1" applyFill="1" applyBorder="1" applyAlignment="1">
      <alignment vertical="top"/>
    </xf>
    <xf numFmtId="0" fontId="5" fillId="0" borderId="8" xfId="0" applyFont="1" applyFill="1" applyBorder="1" applyAlignment="1">
      <alignment vertical="top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5" fillId="0" borderId="4" xfId="0" applyFont="1" applyBorder="1"/>
    <xf numFmtId="0" fontId="5" fillId="0" borderId="0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1" xfId="3" applyFont="1" applyBorder="1" applyAlignment="1">
      <alignment vertical="top"/>
    </xf>
    <xf numFmtId="0" fontId="5" fillId="0" borderId="2" xfId="3" applyFont="1" applyBorder="1" applyAlignment="1">
      <alignment vertical="top"/>
    </xf>
    <xf numFmtId="0" fontId="5" fillId="0" borderId="3" xfId="3" applyFont="1" applyBorder="1" applyAlignment="1">
      <alignment vertical="top"/>
    </xf>
    <xf numFmtId="0" fontId="5" fillId="0" borderId="0" xfId="3" applyFont="1"/>
    <xf numFmtId="0" fontId="5" fillId="0" borderId="4" xfId="3" applyFont="1" applyBorder="1" applyAlignment="1">
      <alignment vertical="top"/>
    </xf>
    <xf numFmtId="0" fontId="5" fillId="0" borderId="0" xfId="3" applyFont="1" applyBorder="1" applyAlignment="1">
      <alignment vertical="top"/>
    </xf>
    <xf numFmtId="0" fontId="5" fillId="0" borderId="5" xfId="3" applyFont="1" applyBorder="1" applyAlignment="1">
      <alignment vertical="top"/>
    </xf>
    <xf numFmtId="0" fontId="5" fillId="0" borderId="4" xfId="3" applyFont="1" applyBorder="1" applyAlignment="1">
      <alignment horizontal="center" vertical="center"/>
    </xf>
    <xf numFmtId="0" fontId="5" fillId="0" borderId="0" xfId="3" applyFont="1" applyBorder="1" applyAlignment="1">
      <alignment horizontal="center" vertical="center"/>
    </xf>
    <xf numFmtId="0" fontId="5" fillId="0" borderId="5" xfId="3" applyFont="1" applyBorder="1" applyAlignment="1">
      <alignment horizontal="center" vertical="center"/>
    </xf>
    <xf numFmtId="0" fontId="5" fillId="0" borderId="0" xfId="3" applyFont="1" applyBorder="1"/>
    <xf numFmtId="0" fontId="5" fillId="0" borderId="6" xfId="3" applyFont="1" applyBorder="1" applyAlignment="1">
      <alignment vertical="top"/>
    </xf>
    <xf numFmtId="0" fontId="5" fillId="0" borderId="7" xfId="3" applyFont="1" applyBorder="1" applyAlignment="1">
      <alignment vertical="top"/>
    </xf>
    <xf numFmtId="0" fontId="5" fillId="0" borderId="8" xfId="3" applyFont="1" applyBorder="1" applyAlignment="1">
      <alignment vertical="top"/>
    </xf>
    <xf numFmtId="49" fontId="5" fillId="0" borderId="1" xfId="0" applyNumberFormat="1" applyFont="1" applyFill="1" applyBorder="1" applyAlignment="1">
      <alignment vertical="top"/>
    </xf>
    <xf numFmtId="0" fontId="7" fillId="0" borderId="0" xfId="0" applyFont="1"/>
    <xf numFmtId="49" fontId="5" fillId="0" borderId="4" xfId="0" applyNumberFormat="1" applyFont="1" applyFill="1" applyBorder="1" applyAlignment="1">
      <alignment vertical="top"/>
    </xf>
    <xf numFmtId="49" fontId="5" fillId="0" borderId="0" xfId="0" applyNumberFormat="1" applyFont="1" applyFill="1" applyBorder="1" applyAlignment="1">
      <alignment vertical="top"/>
    </xf>
    <xf numFmtId="0" fontId="9" fillId="0" borderId="0" xfId="3" applyFont="1" applyBorder="1" applyAlignment="1">
      <alignment horizontal="center" vertical="center"/>
    </xf>
    <xf numFmtId="0" fontId="8" fillId="2" borderId="9" xfId="3" applyFont="1" applyFill="1" applyBorder="1" applyAlignment="1">
      <alignment vertical="center"/>
    </xf>
    <xf numFmtId="0" fontId="7" fillId="0" borderId="9" xfId="3" applyFont="1" applyBorder="1" applyAlignment="1">
      <alignment vertical="center"/>
    </xf>
    <xf numFmtId="176" fontId="7" fillId="0" borderId="9" xfId="3" applyNumberFormat="1" applyFont="1" applyBorder="1" applyAlignment="1">
      <alignment horizontal="left" vertical="center"/>
    </xf>
    <xf numFmtId="0" fontId="7" fillId="0" borderId="1" xfId="3" applyFont="1" applyBorder="1" applyAlignment="1">
      <alignment vertical="center"/>
    </xf>
    <xf numFmtId="0" fontId="7" fillId="0" borderId="2" xfId="3" applyFont="1" applyBorder="1" applyAlignment="1">
      <alignment vertical="center"/>
    </xf>
    <xf numFmtId="0" fontId="7" fillId="0" borderId="3" xfId="3" applyFont="1" applyBorder="1" applyAlignment="1">
      <alignment vertical="center"/>
    </xf>
    <xf numFmtId="0" fontId="7" fillId="0" borderId="6" xfId="3" applyFont="1" applyBorder="1" applyAlignment="1">
      <alignment vertical="center"/>
    </xf>
    <xf numFmtId="0" fontId="7" fillId="0" borderId="7" xfId="3" applyFont="1" applyBorder="1" applyAlignment="1">
      <alignment vertical="center"/>
    </xf>
    <xf numFmtId="0" fontId="7" fillId="0" borderId="8" xfId="3" applyFont="1" applyBorder="1" applyAlignment="1">
      <alignment vertical="center"/>
    </xf>
    <xf numFmtId="0" fontId="8" fillId="2" borderId="1" xfId="3" applyFont="1" applyFill="1" applyBorder="1" applyAlignment="1">
      <alignment vertical="center"/>
    </xf>
    <xf numFmtId="0" fontId="8" fillId="2" borderId="2" xfId="3" applyFont="1" applyFill="1" applyBorder="1" applyAlignment="1">
      <alignment vertical="center"/>
    </xf>
    <xf numFmtId="0" fontId="8" fillId="2" borderId="3" xfId="3" applyFont="1" applyFill="1" applyBorder="1" applyAlignment="1">
      <alignment vertical="center"/>
    </xf>
    <xf numFmtId="0" fontId="8" fillId="2" borderId="6" xfId="3" applyFont="1" applyFill="1" applyBorder="1" applyAlignment="1">
      <alignment vertical="center"/>
    </xf>
    <xf numFmtId="0" fontId="8" fillId="2" borderId="7" xfId="3" applyFont="1" applyFill="1" applyBorder="1" applyAlignment="1">
      <alignment vertical="center"/>
    </xf>
    <xf numFmtId="0" fontId="8" fillId="2" borderId="8" xfId="3" applyFont="1" applyFill="1" applyBorder="1" applyAlignment="1">
      <alignment vertical="center"/>
    </xf>
    <xf numFmtId="0" fontId="6" fillId="2" borderId="23" xfId="2" applyFont="1" applyFill="1" applyBorder="1" applyAlignment="1">
      <alignment horizontal="center" vertical="center"/>
    </xf>
    <xf numFmtId="0" fontId="6" fillId="2" borderId="14" xfId="2" applyFont="1" applyFill="1" applyBorder="1" applyAlignment="1">
      <alignment horizontal="center" vertical="center"/>
    </xf>
    <xf numFmtId="0" fontId="4" fillId="0" borderId="17" xfId="2" applyFont="1" applyBorder="1" applyAlignment="1">
      <alignment horizontal="center" vertical="center"/>
    </xf>
    <xf numFmtId="0" fontId="4" fillId="0" borderId="18" xfId="2" applyFont="1" applyBorder="1" applyAlignment="1">
      <alignment horizontal="center" vertical="center"/>
    </xf>
    <xf numFmtId="0" fontId="4" fillId="0" borderId="19" xfId="2" applyFont="1" applyBorder="1" applyAlignment="1">
      <alignment horizontal="center" vertical="center"/>
    </xf>
    <xf numFmtId="0" fontId="4" fillId="0" borderId="20" xfId="2" applyFont="1" applyBorder="1" applyAlignment="1">
      <alignment horizontal="center" vertical="center"/>
    </xf>
    <xf numFmtId="0" fontId="4" fillId="0" borderId="21" xfId="2" applyFont="1" applyBorder="1" applyAlignment="1">
      <alignment horizontal="center" vertical="center"/>
    </xf>
    <xf numFmtId="0" fontId="4" fillId="0" borderId="22" xfId="2" applyFont="1" applyBorder="1" applyAlignment="1">
      <alignment horizontal="center" vertical="center"/>
    </xf>
    <xf numFmtId="0" fontId="5" fillId="0" borderId="23" xfId="2" applyFont="1" applyBorder="1" applyAlignment="1">
      <alignment horizontal="center" vertical="center"/>
    </xf>
    <xf numFmtId="0" fontId="5" fillId="0" borderId="14" xfId="2" applyFont="1" applyBorder="1" applyAlignment="1">
      <alignment horizontal="center" vertical="center"/>
    </xf>
    <xf numFmtId="176" fontId="5" fillId="0" borderId="23" xfId="0" applyNumberFormat="1" applyFont="1" applyBorder="1" applyAlignment="1">
      <alignment horizontal="center"/>
    </xf>
    <xf numFmtId="176" fontId="5" fillId="0" borderId="25" xfId="0" applyNumberFormat="1" applyFont="1" applyBorder="1" applyAlignment="1">
      <alignment horizontal="center"/>
    </xf>
    <xf numFmtId="0" fontId="5" fillId="0" borderId="14" xfId="0" applyNumberFormat="1" applyFont="1" applyBorder="1" applyAlignment="1">
      <alignment horizontal="center"/>
    </xf>
    <xf numFmtId="0" fontId="5" fillId="0" borderId="26" xfId="0" applyNumberFormat="1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1" applyFont="1" applyBorder="1" applyAlignment="1"/>
    <xf numFmtId="0" fontId="5" fillId="0" borderId="16" xfId="1" applyFont="1" applyBorder="1" applyAlignment="1"/>
    <xf numFmtId="176" fontId="5" fillId="0" borderId="15" xfId="1" applyNumberFormat="1" applyFont="1" applyBorder="1" applyAlignment="1">
      <alignment horizontal="center"/>
    </xf>
    <xf numFmtId="176" fontId="5" fillId="0" borderId="16" xfId="1" applyNumberFormat="1" applyFont="1" applyBorder="1" applyAlignment="1">
      <alignment horizontal="center"/>
    </xf>
    <xf numFmtId="0" fontId="6" fillId="2" borderId="4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5" fillId="0" borderId="24" xfId="1" applyFont="1" applyBorder="1" applyAlignment="1"/>
    <xf numFmtId="176" fontId="5" fillId="0" borderId="24" xfId="1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0" xfId="0" applyFont="1" applyBorder="1" applyAlignment="1">
      <alignment vertical="top"/>
    </xf>
    <xf numFmtId="0" fontId="5" fillId="0" borderId="11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6" fillId="2" borderId="10" xfId="0" applyFont="1" applyFill="1" applyBorder="1" applyAlignment="1">
      <alignment horizontal="center" vertical="top"/>
    </xf>
    <xf numFmtId="0" fontId="6" fillId="2" borderId="11" xfId="0" applyFont="1" applyFill="1" applyBorder="1" applyAlignment="1">
      <alignment horizontal="center" vertical="top"/>
    </xf>
    <xf numFmtId="0" fontId="6" fillId="2" borderId="12" xfId="0" applyFont="1" applyFill="1" applyBorder="1" applyAlignment="1">
      <alignment horizontal="center" vertical="top"/>
    </xf>
    <xf numFmtId="0" fontId="5" fillId="0" borderId="9" xfId="0" applyFont="1" applyBorder="1" applyAlignment="1">
      <alignment vertical="top"/>
    </xf>
    <xf numFmtId="0" fontId="5" fillId="0" borderId="9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0" fontId="5" fillId="0" borderId="10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6" fillId="2" borderId="10" xfId="2" applyFont="1" applyFill="1" applyBorder="1" applyAlignment="1">
      <alignment horizontal="center" vertical="center"/>
    </xf>
    <xf numFmtId="0" fontId="6" fillId="2" borderId="11" xfId="2" applyFont="1" applyFill="1" applyBorder="1" applyAlignment="1">
      <alignment horizontal="center" vertical="center"/>
    </xf>
    <xf numFmtId="0" fontId="6" fillId="2" borderId="12" xfId="2" applyFont="1" applyFill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/>
    </xf>
    <xf numFmtId="0" fontId="5" fillId="0" borderId="11" xfId="0" applyNumberFormat="1" applyFont="1" applyBorder="1" applyAlignment="1">
      <alignment horizontal="center"/>
    </xf>
    <xf numFmtId="0" fontId="5" fillId="0" borderId="12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11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0" fontId="4" fillId="0" borderId="1" xfId="2" applyFont="1" applyFill="1" applyBorder="1" applyAlignment="1">
      <alignment horizontal="center" vertical="center"/>
    </xf>
    <xf numFmtId="0" fontId="4" fillId="0" borderId="2" xfId="2" applyFont="1" applyFill="1" applyBorder="1" applyAlignment="1">
      <alignment horizontal="center" vertical="center"/>
    </xf>
    <xf numFmtId="0" fontId="4" fillId="0" borderId="3" xfId="2" applyFont="1" applyFill="1" applyBorder="1" applyAlignment="1">
      <alignment horizontal="center" vertical="center"/>
    </xf>
    <xf numFmtId="0" fontId="4" fillId="0" borderId="6" xfId="2" applyFont="1" applyFill="1" applyBorder="1" applyAlignment="1">
      <alignment horizontal="center" vertical="center"/>
    </xf>
    <xf numFmtId="0" fontId="4" fillId="0" borderId="7" xfId="2" applyFont="1" applyFill="1" applyBorder="1" applyAlignment="1">
      <alignment horizontal="center" vertical="center"/>
    </xf>
    <xf numFmtId="0" fontId="4" fillId="0" borderId="8" xfId="2" applyFont="1" applyFill="1" applyBorder="1" applyAlignment="1">
      <alignment horizontal="center" vertical="center"/>
    </xf>
    <xf numFmtId="0" fontId="5" fillId="0" borderId="10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5" fillId="0" borderId="12" xfId="2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left" vertical="top" wrapText="1"/>
    </xf>
    <xf numFmtId="0" fontId="5" fillId="0" borderId="1" xfId="0" applyFont="1" applyFill="1" applyBorder="1" applyAlignment="1">
      <alignment horizontal="left" vertical="top" wrapText="1"/>
    </xf>
    <xf numFmtId="0" fontId="5" fillId="0" borderId="2" xfId="0" applyFont="1" applyFill="1" applyBorder="1" applyAlignment="1">
      <alignment horizontal="left" vertical="top" wrapText="1"/>
    </xf>
    <xf numFmtId="0" fontId="5" fillId="0" borderId="3" xfId="0" applyFont="1" applyFill="1" applyBorder="1" applyAlignment="1">
      <alignment horizontal="left" vertical="top" wrapText="1"/>
    </xf>
    <xf numFmtId="0" fontId="5" fillId="0" borderId="6" xfId="0" applyFont="1" applyFill="1" applyBorder="1" applyAlignment="1">
      <alignment horizontal="left" vertical="top" wrapText="1"/>
    </xf>
    <xf numFmtId="0" fontId="5" fillId="0" borderId="7" xfId="0" applyFont="1" applyFill="1" applyBorder="1" applyAlignment="1">
      <alignment horizontal="left" vertical="top" wrapText="1"/>
    </xf>
    <xf numFmtId="0" fontId="5" fillId="0" borderId="8" xfId="0" applyFont="1" applyFill="1" applyBorder="1" applyAlignment="1">
      <alignment horizontal="left" vertical="top" wrapText="1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top"/>
    </xf>
    <xf numFmtId="0" fontId="5" fillId="0" borderId="10" xfId="0" applyFont="1" applyFill="1" applyBorder="1" applyAlignment="1">
      <alignment horizontal="center" vertical="top"/>
    </xf>
    <xf numFmtId="0" fontId="5" fillId="0" borderId="11" xfId="0" applyFont="1" applyFill="1" applyBorder="1" applyAlignment="1">
      <alignment horizontal="center" vertical="top"/>
    </xf>
    <xf numFmtId="0" fontId="5" fillId="0" borderId="12" xfId="0" applyFont="1" applyFill="1" applyBorder="1" applyAlignment="1">
      <alignment horizontal="center" vertical="top"/>
    </xf>
    <xf numFmtId="0" fontId="5" fillId="0" borderId="9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5" fillId="0" borderId="5" xfId="0" applyFont="1" applyFill="1" applyBorder="1" applyAlignment="1">
      <alignment horizontal="left" vertical="top" wrapText="1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top" wrapText="1"/>
    </xf>
    <xf numFmtId="0" fontId="5" fillId="0" borderId="2" xfId="0" applyFont="1" applyFill="1" applyBorder="1" applyAlignment="1">
      <alignment horizontal="center" vertical="top" wrapText="1"/>
    </xf>
    <xf numFmtId="0" fontId="5" fillId="0" borderId="3" xfId="0" applyFont="1" applyFill="1" applyBorder="1" applyAlignment="1">
      <alignment horizontal="center" vertical="top" wrapText="1"/>
    </xf>
    <xf numFmtId="0" fontId="5" fillId="0" borderId="4" xfId="0" applyFont="1" applyFill="1" applyBorder="1" applyAlignment="1">
      <alignment horizontal="center" vertical="top" wrapText="1"/>
    </xf>
    <xf numFmtId="0" fontId="5" fillId="0" borderId="0" xfId="0" applyFont="1" applyFill="1" applyBorder="1" applyAlignment="1">
      <alignment horizontal="center" vertical="top" wrapText="1"/>
    </xf>
    <xf numFmtId="0" fontId="5" fillId="0" borderId="5" xfId="0" applyFont="1" applyFill="1" applyBorder="1" applyAlignment="1">
      <alignment horizontal="center" vertical="top" wrapText="1"/>
    </xf>
    <xf numFmtId="0" fontId="5" fillId="0" borderId="6" xfId="0" applyFont="1" applyFill="1" applyBorder="1" applyAlignment="1">
      <alignment horizontal="center" vertical="top" wrapText="1"/>
    </xf>
    <xf numFmtId="0" fontId="5" fillId="0" borderId="7" xfId="0" applyFont="1" applyFill="1" applyBorder="1" applyAlignment="1">
      <alignment horizontal="center" vertical="top" wrapText="1"/>
    </xf>
    <xf numFmtId="0" fontId="5" fillId="0" borderId="8" xfId="0" applyFont="1" applyFill="1" applyBorder="1" applyAlignment="1">
      <alignment horizontal="center" vertical="top" wrapText="1"/>
    </xf>
    <xf numFmtId="20" fontId="4" fillId="0" borderId="17" xfId="2" applyNumberFormat="1" applyFont="1" applyBorder="1" applyAlignment="1">
      <alignment horizontal="center" vertical="center"/>
    </xf>
    <xf numFmtId="20" fontId="4" fillId="0" borderId="18" xfId="2" applyNumberFormat="1" applyFont="1" applyBorder="1" applyAlignment="1">
      <alignment horizontal="center" vertical="center"/>
    </xf>
    <xf numFmtId="20" fontId="4" fillId="0" borderId="19" xfId="2" applyNumberFormat="1" applyFont="1" applyBorder="1" applyAlignment="1">
      <alignment horizontal="center" vertical="center"/>
    </xf>
    <xf numFmtId="20" fontId="4" fillId="0" borderId="20" xfId="2" applyNumberFormat="1" applyFont="1" applyBorder="1" applyAlignment="1">
      <alignment horizontal="center" vertical="center"/>
    </xf>
    <xf numFmtId="20" fontId="4" fillId="0" borderId="21" xfId="2" applyNumberFormat="1" applyFont="1" applyBorder="1" applyAlignment="1">
      <alignment horizontal="center" vertical="center"/>
    </xf>
    <xf numFmtId="20" fontId="4" fillId="0" borderId="22" xfId="2" applyNumberFormat="1" applyFont="1" applyBorder="1" applyAlignment="1">
      <alignment horizontal="center" vertical="center"/>
    </xf>
  </cellXfs>
  <cellStyles count="4">
    <cellStyle name="標準" xfId="0" builtinId="0"/>
    <cellStyle name="標準_ﾌﾟﾛｸﾞﾗﾑ一覧" xfId="1"/>
    <cellStyle name="標準_受入登録（詳細）2000バージョン" xfId="2"/>
    <cellStyle name="標準_詳細設計書_サンプル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9525</xdr:rowOff>
    </xdr:from>
    <xdr:to>
      <xdr:col>44</xdr:col>
      <xdr:colOff>9525</xdr:colOff>
      <xdr:row>7</xdr:row>
      <xdr:rowOff>104775</xdr:rowOff>
    </xdr:to>
    <xdr:grpSp>
      <xdr:nvGrpSpPr>
        <xdr:cNvPr id="6385" name="Group 1"/>
        <xdr:cNvGrpSpPr>
          <a:grpSpLocks/>
        </xdr:cNvGrpSpPr>
      </xdr:nvGrpSpPr>
      <xdr:grpSpPr bwMode="auto">
        <a:xfrm>
          <a:off x="1600200" y="809625"/>
          <a:ext cx="7210425" cy="228600"/>
          <a:chOff x="1234" y="3654"/>
          <a:chExt cx="9721" cy="360"/>
        </a:xfrm>
      </xdr:grpSpPr>
      <xdr:sp macro="" textlink="">
        <xdr:nvSpPr>
          <xdr:cNvPr id="6390" name="Line 2"/>
          <xdr:cNvSpPr>
            <a:spLocks noChangeShapeType="1"/>
          </xdr:cNvSpPr>
        </xdr:nvSpPr>
        <xdr:spPr bwMode="auto">
          <a:xfrm>
            <a:off x="1234" y="4014"/>
            <a:ext cx="9721" cy="0"/>
          </a:xfrm>
          <a:prstGeom prst="line">
            <a:avLst/>
          </a:prstGeom>
          <a:noFill/>
          <a:ln w="76200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391" name="Line 3"/>
          <xdr:cNvSpPr>
            <a:spLocks noChangeShapeType="1"/>
          </xdr:cNvSpPr>
        </xdr:nvSpPr>
        <xdr:spPr bwMode="auto">
          <a:xfrm>
            <a:off x="1234" y="3834"/>
            <a:ext cx="9721" cy="0"/>
          </a:xfrm>
          <a:prstGeom prst="line">
            <a:avLst/>
          </a:prstGeom>
          <a:noFill/>
          <a:ln w="28575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392" name="Line 4"/>
          <xdr:cNvSpPr>
            <a:spLocks noChangeShapeType="1"/>
          </xdr:cNvSpPr>
        </xdr:nvSpPr>
        <xdr:spPr bwMode="auto">
          <a:xfrm>
            <a:off x="1234" y="3654"/>
            <a:ext cx="9721" cy="0"/>
          </a:xfrm>
          <a:prstGeom prst="line">
            <a:avLst/>
          </a:prstGeom>
          <a:noFill/>
          <a:ln w="12700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0</xdr:colOff>
      <xdr:row>22</xdr:row>
      <xdr:rowOff>19050</xdr:rowOff>
    </xdr:from>
    <xdr:to>
      <xdr:col>44</xdr:col>
      <xdr:colOff>9525</xdr:colOff>
      <xdr:row>23</xdr:row>
      <xdr:rowOff>114300</xdr:rowOff>
    </xdr:to>
    <xdr:grpSp>
      <xdr:nvGrpSpPr>
        <xdr:cNvPr id="6386" name="Group 5"/>
        <xdr:cNvGrpSpPr>
          <a:grpSpLocks/>
        </xdr:cNvGrpSpPr>
      </xdr:nvGrpSpPr>
      <xdr:grpSpPr bwMode="auto">
        <a:xfrm>
          <a:off x="1600200" y="2952750"/>
          <a:ext cx="7210425" cy="228600"/>
          <a:chOff x="1234" y="5634"/>
          <a:chExt cx="9721" cy="360"/>
        </a:xfrm>
      </xdr:grpSpPr>
      <xdr:sp macro="" textlink="">
        <xdr:nvSpPr>
          <xdr:cNvPr id="6387" name="Line 6"/>
          <xdr:cNvSpPr>
            <a:spLocks noChangeShapeType="1"/>
          </xdr:cNvSpPr>
        </xdr:nvSpPr>
        <xdr:spPr bwMode="auto">
          <a:xfrm>
            <a:off x="1234" y="5634"/>
            <a:ext cx="9721" cy="0"/>
          </a:xfrm>
          <a:prstGeom prst="line">
            <a:avLst/>
          </a:prstGeom>
          <a:noFill/>
          <a:ln w="76200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388" name="Line 7"/>
          <xdr:cNvSpPr>
            <a:spLocks noChangeShapeType="1"/>
          </xdr:cNvSpPr>
        </xdr:nvSpPr>
        <xdr:spPr bwMode="auto">
          <a:xfrm>
            <a:off x="1234" y="5814"/>
            <a:ext cx="9721" cy="0"/>
          </a:xfrm>
          <a:prstGeom prst="line">
            <a:avLst/>
          </a:prstGeom>
          <a:noFill/>
          <a:ln w="28575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389" name="Line 8"/>
          <xdr:cNvSpPr>
            <a:spLocks noChangeShapeType="1"/>
          </xdr:cNvSpPr>
        </xdr:nvSpPr>
        <xdr:spPr bwMode="auto">
          <a:xfrm>
            <a:off x="1234" y="5994"/>
            <a:ext cx="9721" cy="0"/>
          </a:xfrm>
          <a:prstGeom prst="line">
            <a:avLst/>
          </a:prstGeom>
          <a:noFill/>
          <a:ln w="12700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114300</xdr:rowOff>
    </xdr:from>
    <xdr:to>
      <xdr:col>51</xdr:col>
      <xdr:colOff>190496</xdr:colOff>
      <xdr:row>68</xdr:row>
      <xdr:rowOff>114300</xdr:rowOff>
    </xdr:to>
    <xdr:grpSp>
      <xdr:nvGrpSpPr>
        <xdr:cNvPr id="40" name="グループ化 39"/>
        <xdr:cNvGrpSpPr/>
      </xdr:nvGrpSpPr>
      <xdr:grpSpPr>
        <a:xfrm>
          <a:off x="0" y="542925"/>
          <a:ext cx="10391771" cy="8667750"/>
          <a:chOff x="9526" y="571499"/>
          <a:chExt cx="10391771" cy="8680688"/>
        </a:xfrm>
      </xdr:grpSpPr>
      <xdr:sp macro="" textlink="">
        <xdr:nvSpPr>
          <xdr:cNvPr id="41" name="角丸四角形 20"/>
          <xdr:cNvSpPr>
            <a:spLocks noChangeArrowheads="1"/>
          </xdr:cNvSpPr>
        </xdr:nvSpPr>
        <xdr:spPr bwMode="auto">
          <a:xfrm>
            <a:off x="9526" y="609599"/>
            <a:ext cx="10115550" cy="2324101"/>
          </a:xfrm>
          <a:prstGeom prst="roundRect">
            <a:avLst>
              <a:gd name="adj" fmla="val 16667"/>
            </a:avLst>
          </a:prstGeom>
          <a:ln>
            <a:headEnd/>
            <a:tailEnd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anchor="ctr"/>
          <a:lstStyle/>
          <a:p>
            <a:pPr algn="ctr"/>
            <a:r>
              <a:rPr lang="ja-JP" altLang="en-US" sz="5400" b="0" cap="none" spc="0">
                <a:ln w="18415" cmpd="sng">
                  <a:solidFill>
                    <a:schemeClr val="bg1"/>
                  </a:solidFill>
                  <a:prstDash val="solid"/>
                </a:ln>
                <a:solidFill>
                  <a:schemeClr val="bg1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ヘッダー</a:t>
            </a:r>
          </a:p>
        </xdr:txBody>
      </xdr:sp>
      <xdr:sp macro="" textlink="">
        <xdr:nvSpPr>
          <xdr:cNvPr id="42" name="正方形/長方形 41"/>
          <xdr:cNvSpPr/>
        </xdr:nvSpPr>
        <xdr:spPr>
          <a:xfrm>
            <a:off x="9086850" y="723899"/>
            <a:ext cx="1121536" cy="29616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ja-JP" altLang="en-US" sz="1400" b="1" cap="none" spc="0">
                <a:ln w="0"/>
                <a:solidFill>
                  <a:srgbClr val="0070C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+mn-ea"/>
                <a:ea typeface="+mn-ea"/>
              </a:rPr>
              <a:t>ログアウト</a:t>
            </a:r>
            <a:endParaRPr lang="en-US" altLang="ja-JP" sz="1400" b="1" cap="none" spc="0">
              <a:ln w="0"/>
              <a:solidFill>
                <a:srgbClr val="0070C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endParaRPr>
          </a:p>
        </xdr:txBody>
      </xdr:sp>
      <xdr:sp macro="" textlink="">
        <xdr:nvSpPr>
          <xdr:cNvPr id="45" name="正方形/長方形 44"/>
          <xdr:cNvSpPr/>
        </xdr:nvSpPr>
        <xdr:spPr>
          <a:xfrm>
            <a:off x="8039099" y="752475"/>
            <a:ext cx="1038225" cy="295276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ja-JP" altLang="en-US" sz="1400" b="1" cap="none" spc="0">
                <a:ln w="0"/>
                <a:solidFill>
                  <a:srgbClr val="0070C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+mn-ea"/>
                <a:ea typeface="+mn-ea"/>
              </a:rPr>
              <a:t>マイページ</a:t>
            </a:r>
          </a:p>
        </xdr:txBody>
      </xdr:sp>
      <xdr:sp macro="" textlink="">
        <xdr:nvSpPr>
          <xdr:cNvPr id="46" name="正方形/長方形 45"/>
          <xdr:cNvSpPr/>
        </xdr:nvSpPr>
        <xdr:spPr>
          <a:xfrm>
            <a:off x="123825" y="1552575"/>
            <a:ext cx="3695701" cy="409574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altLang="ja-JP" sz="18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HGP創英角ﾎﾟｯﾌﾟ体" panose="040B0A00000000000000" pitchFamily="50" charset="-128"/>
                <a:ea typeface="HGP創英角ﾎﾟｯﾌﾟ体" panose="040B0A00000000000000" pitchFamily="50" charset="-128"/>
              </a:rPr>
              <a:t>ICT</a:t>
            </a:r>
            <a:r>
              <a:rPr lang="ja-JP" altLang="en-US" sz="18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HGP創英角ﾎﾟｯﾌﾟ体" panose="040B0A00000000000000" pitchFamily="50" charset="-128"/>
                <a:ea typeface="HGP創英角ﾎﾟｯﾌﾟ体" panose="040B0A00000000000000" pitchFamily="50" charset="-128"/>
              </a:rPr>
              <a:t>５月生　ポートフォリオ（仮）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74" name="ScrollBar1" hidden="1">
                <a:extLst>
                  <a:ext uri="{63B3BB69-23CF-44E3-9099-C40C66FF867C}">
                    <a14:compatExt spid="_x0000_s1574"/>
                  </a:ext>
                </a:extLst>
              </xdr:cNvPr>
              <xdr:cNvSpPr/>
            </xdr:nvSpPr>
            <xdr:spPr bwMode="auto">
              <a:xfrm>
                <a:off x="10191750" y="571499"/>
                <a:ext cx="209547" cy="868068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28</xdr:col>
      <xdr:colOff>161925</xdr:colOff>
      <xdr:row>56</xdr:row>
      <xdr:rowOff>47625</xdr:rowOff>
    </xdr:from>
    <xdr:ext cx="1114425" cy="323851"/>
    <xdr:sp macro="" textlink="">
      <xdr:nvSpPr>
        <xdr:cNvPr id="35" name="正方形/長方形 34"/>
        <xdr:cNvSpPr/>
      </xdr:nvSpPr>
      <xdr:spPr>
        <a:xfrm>
          <a:off x="5762625" y="7543800"/>
          <a:ext cx="1114425" cy="3238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>
            <a:lnSpc>
              <a:spcPts val="1200"/>
            </a:lnSpc>
          </a:pPr>
          <a:r>
            <a:rPr lang="ja-JP" altLang="en-US" sz="1400" b="1" cap="none" spc="0">
              <a:ln w="0"/>
              <a:solidFill>
                <a:srgbClr val="0070C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コメントする</a:t>
          </a:r>
          <a:endParaRPr lang="en-US" altLang="ja-JP" sz="1400" b="1" cap="none" spc="0">
            <a:ln w="0"/>
            <a:solidFill>
              <a:srgbClr val="0070C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ea"/>
            <a:ea typeface="+mn-ea"/>
          </a:endParaRPr>
        </a:p>
        <a:p>
          <a:pPr algn="ctr">
            <a:lnSpc>
              <a:spcPts val="1500"/>
            </a:lnSpc>
          </a:pPr>
          <a:endParaRPr lang="ja-JP" altLang="en-US" sz="1400" b="1" cap="none" spc="0">
            <a:ln w="0"/>
            <a:solidFill>
              <a:sysClr val="windowText" lastClr="00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ea"/>
            <a:ea typeface="+mn-ea"/>
          </a:endParaRPr>
        </a:p>
      </xdr:txBody>
    </xdr:sp>
    <xdr:clientData/>
  </xdr:oneCellAnchor>
  <xdr:oneCellAnchor>
    <xdr:from>
      <xdr:col>13</xdr:col>
      <xdr:colOff>200024</xdr:colOff>
      <xdr:row>38</xdr:row>
      <xdr:rowOff>0</xdr:rowOff>
    </xdr:from>
    <xdr:ext cx="1057274" cy="323851"/>
    <xdr:sp macro="" textlink="">
      <xdr:nvSpPr>
        <xdr:cNvPr id="36" name="正方形/長方形 35"/>
        <xdr:cNvSpPr/>
      </xdr:nvSpPr>
      <xdr:spPr>
        <a:xfrm>
          <a:off x="2800349" y="5095875"/>
          <a:ext cx="1057274" cy="3238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ja-JP" altLang="en-US" sz="1400" b="1" cap="none" spc="0">
            <a:ln w="0"/>
            <a:solidFill>
              <a:sysClr val="windowText" lastClr="00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ea"/>
            <a:ea typeface="+mn-ea"/>
          </a:endParaRPr>
        </a:p>
      </xdr:txBody>
    </xdr:sp>
    <xdr:clientData/>
  </xdr:oneCellAnchor>
  <xdr:oneCellAnchor>
    <xdr:from>
      <xdr:col>37</xdr:col>
      <xdr:colOff>161925</xdr:colOff>
      <xdr:row>5</xdr:row>
      <xdr:rowOff>76200</xdr:rowOff>
    </xdr:from>
    <xdr:ext cx="485775" cy="295276"/>
    <xdr:sp macro="" textlink="">
      <xdr:nvSpPr>
        <xdr:cNvPr id="18" name="正方形/長方形 17"/>
        <xdr:cNvSpPr/>
      </xdr:nvSpPr>
      <xdr:spPr>
        <a:xfrm>
          <a:off x="7562850" y="771525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①</a:t>
          </a:r>
        </a:p>
      </xdr:txBody>
    </xdr:sp>
    <xdr:clientData/>
  </xdr:oneCellAnchor>
  <xdr:oneCellAnchor>
    <xdr:from>
      <xdr:col>47</xdr:col>
      <xdr:colOff>9525</xdr:colOff>
      <xdr:row>9</xdr:row>
      <xdr:rowOff>38100</xdr:rowOff>
    </xdr:from>
    <xdr:ext cx="485775" cy="295276"/>
    <xdr:sp macro="" textlink="">
      <xdr:nvSpPr>
        <xdr:cNvPr id="20" name="正方形/長方形 19"/>
        <xdr:cNvSpPr/>
      </xdr:nvSpPr>
      <xdr:spPr>
        <a:xfrm>
          <a:off x="9410700" y="1266825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②</a:t>
          </a:r>
        </a:p>
      </xdr:txBody>
    </xdr:sp>
    <xdr:clientData/>
  </xdr:oneCellAnchor>
  <xdr:oneCellAnchor>
    <xdr:from>
      <xdr:col>16</xdr:col>
      <xdr:colOff>66675</xdr:colOff>
      <xdr:row>7</xdr:row>
      <xdr:rowOff>19051</xdr:rowOff>
    </xdr:from>
    <xdr:ext cx="457199" cy="266699"/>
    <xdr:sp macro="" textlink="">
      <xdr:nvSpPr>
        <xdr:cNvPr id="22" name="正方形/長方形 21"/>
        <xdr:cNvSpPr/>
      </xdr:nvSpPr>
      <xdr:spPr>
        <a:xfrm>
          <a:off x="3267075" y="981076"/>
          <a:ext cx="457199" cy="266699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③</a:t>
          </a:r>
        </a:p>
      </xdr:txBody>
    </xdr:sp>
    <xdr:clientData/>
  </xdr:oneCellAnchor>
  <xdr:oneCellAnchor>
    <xdr:from>
      <xdr:col>40</xdr:col>
      <xdr:colOff>114300</xdr:colOff>
      <xdr:row>44</xdr:row>
      <xdr:rowOff>0</xdr:rowOff>
    </xdr:from>
    <xdr:ext cx="485775" cy="295276"/>
    <xdr:sp macro="" textlink="">
      <xdr:nvSpPr>
        <xdr:cNvPr id="23" name="正方形/長方形 22"/>
        <xdr:cNvSpPr/>
      </xdr:nvSpPr>
      <xdr:spPr>
        <a:xfrm>
          <a:off x="8115300" y="5895975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⑦</a:t>
          </a:r>
          <a:endParaRPr lang="en-US" altLang="ja-JP" sz="1400" b="1" cap="none" spc="0">
            <a:ln w="0"/>
            <a:solidFill>
              <a:srgbClr val="FF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ea"/>
            <a:ea typeface="+mn-ea"/>
          </a:endParaRPr>
        </a:p>
      </xdr:txBody>
    </xdr:sp>
    <xdr:clientData/>
  </xdr:oneCellAnchor>
  <xdr:oneCellAnchor>
    <xdr:from>
      <xdr:col>30</xdr:col>
      <xdr:colOff>104775</xdr:colOff>
      <xdr:row>9</xdr:row>
      <xdr:rowOff>104775</xdr:rowOff>
    </xdr:from>
    <xdr:ext cx="485775" cy="295276"/>
    <xdr:sp macro="" textlink="">
      <xdr:nvSpPr>
        <xdr:cNvPr id="24" name="正方形/長方形 23"/>
        <xdr:cNvSpPr/>
      </xdr:nvSpPr>
      <xdr:spPr>
        <a:xfrm>
          <a:off x="6105525" y="1333500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⑤</a:t>
          </a:r>
        </a:p>
      </xdr:txBody>
    </xdr:sp>
    <xdr:clientData/>
  </xdr:oneCellAnchor>
  <xdr:oneCellAnchor>
    <xdr:from>
      <xdr:col>39</xdr:col>
      <xdr:colOff>161926</xdr:colOff>
      <xdr:row>31</xdr:row>
      <xdr:rowOff>47625</xdr:rowOff>
    </xdr:from>
    <xdr:ext cx="381000" cy="295276"/>
    <xdr:sp macro="" textlink="">
      <xdr:nvSpPr>
        <xdr:cNvPr id="25" name="正方形/長方形 24"/>
        <xdr:cNvSpPr/>
      </xdr:nvSpPr>
      <xdr:spPr>
        <a:xfrm>
          <a:off x="7962901" y="4210050"/>
          <a:ext cx="381000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⑥</a:t>
          </a:r>
        </a:p>
      </xdr:txBody>
    </xdr:sp>
    <xdr:clientData/>
  </xdr:oneCellAnchor>
  <xdr:twoCellAnchor>
    <xdr:from>
      <xdr:col>48</xdr:col>
      <xdr:colOff>47625</xdr:colOff>
      <xdr:row>7</xdr:row>
      <xdr:rowOff>57150</xdr:rowOff>
    </xdr:from>
    <xdr:to>
      <xdr:col>48</xdr:col>
      <xdr:colOff>76200</xdr:colOff>
      <xdr:row>9</xdr:row>
      <xdr:rowOff>66675</xdr:rowOff>
    </xdr:to>
    <xdr:cxnSp macro="">
      <xdr:nvCxnSpPr>
        <xdr:cNvPr id="8" name="直線矢印コネクタ 7"/>
        <xdr:cNvCxnSpPr/>
      </xdr:nvCxnSpPr>
      <xdr:spPr bwMode="auto">
        <a:xfrm flipV="1">
          <a:off x="9648825" y="1019175"/>
          <a:ext cx="28575" cy="276225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104776</xdr:colOff>
      <xdr:row>6</xdr:row>
      <xdr:rowOff>66677</xdr:rowOff>
    </xdr:from>
    <xdr:to>
      <xdr:col>15</xdr:col>
      <xdr:colOff>190500</xdr:colOff>
      <xdr:row>8</xdr:row>
      <xdr:rowOff>47625</xdr:rowOff>
    </xdr:to>
    <xdr:cxnSp macro="">
      <xdr:nvCxnSpPr>
        <xdr:cNvPr id="26" name="直線矢印コネクタ 25"/>
        <xdr:cNvCxnSpPr/>
      </xdr:nvCxnSpPr>
      <xdr:spPr bwMode="auto">
        <a:xfrm flipH="1" flipV="1">
          <a:off x="2705101" y="895352"/>
          <a:ext cx="485774" cy="247648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24</xdr:col>
      <xdr:colOff>57150</xdr:colOff>
      <xdr:row>62</xdr:row>
      <xdr:rowOff>9525</xdr:rowOff>
    </xdr:from>
    <xdr:ext cx="485775" cy="295276"/>
    <xdr:sp macro="" textlink="">
      <xdr:nvSpPr>
        <xdr:cNvPr id="43" name="正方形/長方形 42"/>
        <xdr:cNvSpPr/>
      </xdr:nvSpPr>
      <xdr:spPr>
        <a:xfrm>
          <a:off x="4857750" y="8305800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⑦</a:t>
          </a:r>
        </a:p>
      </xdr:txBody>
    </xdr:sp>
    <xdr:clientData/>
  </xdr:oneCellAnchor>
  <xdr:twoCellAnchor>
    <xdr:from>
      <xdr:col>47</xdr:col>
      <xdr:colOff>161925</xdr:colOff>
      <xdr:row>26</xdr:row>
      <xdr:rowOff>66675</xdr:rowOff>
    </xdr:from>
    <xdr:to>
      <xdr:col>59</xdr:col>
      <xdr:colOff>114300</xdr:colOff>
      <xdr:row>39</xdr:row>
      <xdr:rowOff>28575</xdr:rowOff>
    </xdr:to>
    <xdr:sp macro="" textlink="">
      <xdr:nvSpPr>
        <xdr:cNvPr id="2" name="四角形吹き出し 1"/>
        <xdr:cNvSpPr/>
      </xdr:nvSpPr>
      <xdr:spPr bwMode="auto">
        <a:xfrm>
          <a:off x="9563100" y="3562350"/>
          <a:ext cx="2352675" cy="1695450"/>
        </a:xfrm>
        <a:prstGeom prst="wedgeRectCallout">
          <a:avLst>
            <a:gd name="adj1" fmla="val -71035"/>
            <a:gd name="adj2" fmla="val 69241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/>
            <a:t>bootstrap</a:t>
          </a:r>
          <a:r>
            <a:rPr kumimoji="1" lang="ja-JP" altLang="en-US" sz="1100"/>
            <a:t>使ってアプリケーションのページにスクロールをつける</a:t>
          </a:r>
        </a:p>
      </xdr:txBody>
    </xdr:sp>
    <xdr:clientData/>
  </xdr:twoCellAnchor>
  <xdr:twoCellAnchor>
    <xdr:from>
      <xdr:col>1</xdr:col>
      <xdr:colOff>38100</xdr:colOff>
      <xdr:row>5</xdr:row>
      <xdr:rowOff>0</xdr:rowOff>
    </xdr:from>
    <xdr:to>
      <xdr:col>13</xdr:col>
      <xdr:colOff>19050</xdr:colOff>
      <xdr:row>7</xdr:row>
      <xdr:rowOff>28575</xdr:rowOff>
    </xdr:to>
    <xdr:grpSp>
      <xdr:nvGrpSpPr>
        <xdr:cNvPr id="27" name="グループ化 26"/>
        <xdr:cNvGrpSpPr/>
      </xdr:nvGrpSpPr>
      <xdr:grpSpPr>
        <a:xfrm>
          <a:off x="238125" y="695325"/>
          <a:ext cx="2381250" cy="295275"/>
          <a:chOff x="76200" y="-714376"/>
          <a:chExt cx="2381250" cy="295275"/>
        </a:xfrm>
      </xdr:grpSpPr>
      <xdr:sp macro="" textlink="">
        <xdr:nvSpPr>
          <xdr:cNvPr id="29" name="テキスト ボックス 28"/>
          <xdr:cNvSpPr txBox="1"/>
        </xdr:nvSpPr>
        <xdr:spPr>
          <a:xfrm>
            <a:off x="76200" y="-714375"/>
            <a:ext cx="1924050" cy="266701"/>
          </a:xfrm>
          <a:prstGeom prst="rect">
            <a:avLst/>
          </a:prstGeom>
          <a:ln>
            <a:solidFill>
              <a:schemeClr val="tx1"/>
            </a:solidFill>
          </a:ln>
        </xdr:spPr>
        <xdr:style>
          <a:lnRef idx="2">
            <a:schemeClr val="dk1"/>
          </a:lnRef>
          <a:fillRef idx="100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kumimoji="1" lang="en-US" altLang="ja-JP" sz="16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70" name="CommandButton1" hidden="1">
                <a:extLst>
                  <a:ext uri="{63B3BB69-23CF-44E3-9099-C40C66FF867C}">
                    <a14:compatExt spid="_x0000_s1570"/>
                  </a:ext>
                </a:extLst>
              </xdr:cNvPr>
              <xdr:cNvSpPr/>
            </xdr:nvSpPr>
            <xdr:spPr bwMode="auto">
              <a:xfrm>
                <a:off x="2009776" y="-714376"/>
                <a:ext cx="447674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123826</xdr:colOff>
      <xdr:row>25</xdr:row>
      <xdr:rowOff>19050</xdr:rowOff>
    </xdr:from>
    <xdr:to>
      <xdr:col>35</xdr:col>
      <xdr:colOff>171451</xdr:colOff>
      <xdr:row>68</xdr:row>
      <xdr:rowOff>123825</xdr:rowOff>
    </xdr:to>
    <xdr:grpSp>
      <xdr:nvGrpSpPr>
        <xdr:cNvPr id="19" name="グループ化 18"/>
        <xdr:cNvGrpSpPr/>
      </xdr:nvGrpSpPr>
      <xdr:grpSpPr>
        <a:xfrm>
          <a:off x="923926" y="3381375"/>
          <a:ext cx="6248400" cy="5838825"/>
          <a:chOff x="1352551" y="3362325"/>
          <a:chExt cx="6119936" cy="5838825"/>
        </a:xfrm>
      </xdr:grpSpPr>
      <xdr:grpSp>
        <xdr:nvGrpSpPr>
          <xdr:cNvPr id="11" name="グループ化 10"/>
          <xdr:cNvGrpSpPr/>
        </xdr:nvGrpSpPr>
        <xdr:grpSpPr>
          <a:xfrm>
            <a:off x="1352551" y="3362325"/>
            <a:ext cx="6119936" cy="5838825"/>
            <a:chOff x="190500" y="3267075"/>
            <a:chExt cx="7305675" cy="5838825"/>
          </a:xfrm>
        </xdr:grpSpPr>
        <xdr:sp macro="" textlink="">
          <xdr:nvSpPr>
            <xdr:cNvPr id="49" name="正方形/長方形 48"/>
            <xdr:cNvSpPr/>
          </xdr:nvSpPr>
          <xdr:spPr bwMode="auto">
            <a:xfrm>
              <a:off x="209551" y="3343274"/>
              <a:ext cx="7248588" cy="5762626"/>
            </a:xfrm>
            <a:prstGeom prst="rect">
              <a:avLst/>
            </a:prstGeom>
            <a:ln>
              <a:solidFill>
                <a:schemeClr val="accent3"/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t" upright="1"/>
            <a:lstStyle/>
            <a:p>
              <a:endParaRPr lang="ja-JP" altLang="en-US"/>
            </a:p>
          </xdr:txBody>
        </xdr:sp>
        <xdr:sp macro="" textlink="">
          <xdr:nvSpPr>
            <xdr:cNvPr id="51" name="正方形/長方形 50"/>
            <xdr:cNvSpPr/>
          </xdr:nvSpPr>
          <xdr:spPr bwMode="auto">
            <a:xfrm>
              <a:off x="219632" y="3906762"/>
              <a:ext cx="7257493" cy="569987"/>
            </a:xfrm>
            <a:prstGeom prst="rect">
              <a:avLst/>
            </a:prstGeom>
            <a:ln w="3175">
              <a:solidFill>
                <a:schemeClr val="accent3">
                  <a:lumMod val="40000"/>
                  <a:lumOff val="6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ctr" upright="1"/>
            <a:lstStyle/>
            <a:p>
              <a:r>
                <a:rPr kumimoji="1" lang="ja-JP" altLang="ja-JP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　　　　　　</a:t>
              </a:r>
              <a:r>
                <a:rPr kumimoji="1" lang="en-US" altLang="ja-JP" sz="16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</a:t>
              </a:r>
              <a:r>
                <a:rPr kumimoji="1" lang="ja-JP" altLang="en-US" sz="1600" b="1" baseline="0">
                  <a:solidFill>
                    <a:schemeClr val="dk1"/>
                  </a:solidFill>
                  <a:effectLst/>
                  <a:latin typeface="HGPｺﾞｼｯｸE" panose="020B0900000000000000" pitchFamily="50" charset="-128"/>
                  <a:ea typeface="HGPｺﾞｼｯｸE" panose="020B0900000000000000" pitchFamily="50" charset="-128"/>
                  <a:cs typeface="+mn-cs"/>
                </a:rPr>
                <a:t>落合監督戻ってきて、ついでに報酬パンの耳からパンにして　</a:t>
              </a:r>
              <a:endParaRPr kumimoji="1" lang="en-US" altLang="ja-JP" sz="1600" b="1" baseline="0">
                <a:solidFill>
                  <a:schemeClr val="dk1"/>
                </a:solidFill>
                <a:effectLst/>
                <a:latin typeface="HGPｺﾞｼｯｸE" panose="020B0900000000000000" pitchFamily="50" charset="-128"/>
                <a:ea typeface="HGPｺﾞｼｯｸE" panose="020B0900000000000000" pitchFamily="50" charset="-128"/>
                <a:cs typeface="+mn-cs"/>
              </a:endParaRPr>
            </a:p>
            <a:p>
              <a:r>
                <a:rPr kumimoji="1" lang="ja-JP" altLang="ja-JP" sz="1100" b="1" baseline="0">
                  <a:solidFill>
                    <a:schemeClr val="dk1"/>
                  </a:solidFill>
                  <a:effectLst/>
                  <a:latin typeface="HGPｺﾞｼｯｸE" panose="020B0900000000000000" pitchFamily="50" charset="-128"/>
                  <a:ea typeface="HGPｺﾞｼｯｸE" panose="020B0900000000000000" pitchFamily="50" charset="-128"/>
                  <a:cs typeface="+mn-cs"/>
                </a:rPr>
                <a:t>　　　　　　</a:t>
              </a:r>
              <a:r>
                <a:rPr kumimoji="1" lang="en-US" altLang="ja-JP" sz="1100" b="1" baseline="0">
                  <a:solidFill>
                    <a:schemeClr val="dk1"/>
                  </a:solidFill>
                  <a:effectLst/>
                  <a:latin typeface="HGPｺﾞｼｯｸE" panose="020B0900000000000000" pitchFamily="50" charset="-128"/>
                  <a:ea typeface="HGPｺﾞｼｯｸE" panose="020B0900000000000000" pitchFamily="50" charset="-128"/>
                  <a:cs typeface="+mn-cs"/>
                </a:rPr>
                <a:t> </a:t>
              </a:r>
              <a:r>
                <a:rPr kumimoji="1" lang="ja-JP" altLang="ja-JP" sz="1100" b="1" baseline="0">
                  <a:solidFill>
                    <a:schemeClr val="dk1"/>
                  </a:solidFill>
                  <a:effectLst/>
                  <a:latin typeface="HGPｺﾞｼｯｸE" panose="020B0900000000000000" pitchFamily="50" charset="-128"/>
                  <a:ea typeface="HGPｺﾞｼｯｸE" panose="020B0900000000000000" pitchFamily="50" charset="-128"/>
                  <a:cs typeface="+mn-cs"/>
                </a:rPr>
                <a:t>　</a:t>
              </a:r>
              <a:r>
                <a:rPr kumimoji="1" lang="en-US" altLang="ja-JP" sz="1100" b="1" baseline="0">
                  <a:solidFill>
                    <a:schemeClr val="dk1"/>
                  </a:solidFill>
                  <a:effectLst/>
                  <a:latin typeface="HGPｺﾞｼｯｸE" panose="020B0900000000000000" pitchFamily="50" charset="-128"/>
                  <a:ea typeface="HGPｺﾞｼｯｸE" panose="020B0900000000000000" pitchFamily="50" charset="-128"/>
                  <a:cs typeface="+mn-cs"/>
                </a:rPr>
                <a:t>  user: </a:t>
              </a:r>
              <a:r>
                <a:rPr kumimoji="1" lang="ja-JP" altLang="en-US" sz="1100" b="1" baseline="0">
                  <a:solidFill>
                    <a:schemeClr val="dk1"/>
                  </a:solidFill>
                  <a:effectLst/>
                  <a:latin typeface="HGPｺﾞｼｯｸE" panose="020B0900000000000000" pitchFamily="50" charset="-128"/>
                  <a:ea typeface="HGPｺﾞｼｯｸE" panose="020B0900000000000000" pitchFamily="50" charset="-128"/>
                  <a:cs typeface="+mn-cs"/>
                </a:rPr>
                <a:t>ドアラ</a:t>
              </a:r>
              <a:r>
                <a:rPr kumimoji="1" lang="en-US" altLang="ja-JP" sz="1100" b="1" baseline="0">
                  <a:solidFill>
                    <a:schemeClr val="dk1"/>
                  </a:solidFill>
                  <a:effectLst/>
                  <a:latin typeface="HGPｺﾞｼｯｸE" panose="020B0900000000000000" pitchFamily="50" charset="-128"/>
                  <a:ea typeface="HGPｺﾞｼｯｸE" panose="020B0900000000000000" pitchFamily="50" charset="-128"/>
                  <a:cs typeface="+mn-cs"/>
                </a:rPr>
                <a:t> up:2019/08/25</a:t>
              </a:r>
              <a:endParaRPr lang="ja-JP" altLang="ja-JP">
                <a:effectLst/>
                <a:latin typeface="HGPｺﾞｼｯｸE" panose="020B0900000000000000" pitchFamily="50" charset="-128"/>
                <a:ea typeface="HGPｺﾞｼｯｸE" panose="020B0900000000000000" pitchFamily="50" charset="-128"/>
              </a:endParaRPr>
            </a:p>
          </xdr:txBody>
        </xdr:sp>
        <xdr:sp macro="" textlink="">
          <xdr:nvSpPr>
            <xdr:cNvPr id="52" name="正方形/長方形 51"/>
            <xdr:cNvSpPr/>
          </xdr:nvSpPr>
          <xdr:spPr bwMode="auto">
            <a:xfrm>
              <a:off x="219632" y="4468009"/>
              <a:ext cx="7257493" cy="627865"/>
            </a:xfrm>
            <a:prstGeom prst="rect">
              <a:avLst/>
            </a:prstGeom>
            <a:ln w="3175">
              <a:solidFill>
                <a:schemeClr val="accent1">
                  <a:lumMod val="20000"/>
                  <a:lumOff val="8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ctr" upright="1"/>
            <a:lstStyle/>
            <a:p>
              <a:pPr marL="0" marR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ja-JP" altLang="ja-JP">
                <a:effectLst/>
              </a:endParaRPr>
            </a:p>
          </xdr:txBody>
        </xdr:sp>
        <xdr:sp macro="" textlink="">
          <xdr:nvSpPr>
            <xdr:cNvPr id="53" name="正方形/長方形 52"/>
            <xdr:cNvSpPr/>
          </xdr:nvSpPr>
          <xdr:spPr bwMode="auto">
            <a:xfrm>
              <a:off x="209551" y="5029256"/>
              <a:ext cx="7257493" cy="609544"/>
            </a:xfrm>
            <a:prstGeom prst="rect">
              <a:avLst/>
            </a:prstGeom>
            <a:ln w="3175">
              <a:solidFill>
                <a:schemeClr val="accent3">
                  <a:lumMod val="40000"/>
                  <a:lumOff val="6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t" upright="1"/>
            <a:lstStyle/>
            <a:p>
              <a:endParaRPr lang="ja-JP" altLang="en-US"/>
            </a:p>
          </xdr:txBody>
        </xdr:sp>
        <xdr:sp macro="" textlink="">
          <xdr:nvSpPr>
            <xdr:cNvPr id="54" name="正方形/長方形 53"/>
            <xdr:cNvSpPr/>
          </xdr:nvSpPr>
          <xdr:spPr bwMode="auto">
            <a:xfrm>
              <a:off x="219632" y="5590502"/>
              <a:ext cx="7257493" cy="657898"/>
            </a:xfrm>
            <a:prstGeom prst="rect">
              <a:avLst/>
            </a:prstGeom>
            <a:ln w="3175">
              <a:solidFill>
                <a:schemeClr val="accent3">
                  <a:lumMod val="40000"/>
                  <a:lumOff val="6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t" upright="1"/>
            <a:lstStyle/>
            <a:p>
              <a:endParaRPr lang="ja-JP" altLang="en-US"/>
            </a:p>
          </xdr:txBody>
        </xdr:sp>
        <xdr:sp macro="" textlink="">
          <xdr:nvSpPr>
            <xdr:cNvPr id="63" name="正方形/長方形 62"/>
            <xdr:cNvSpPr/>
          </xdr:nvSpPr>
          <xdr:spPr bwMode="auto">
            <a:xfrm>
              <a:off x="210107" y="6181724"/>
              <a:ext cx="7257493" cy="65722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accent3">
                  <a:lumMod val="40000"/>
                  <a:lumOff val="6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ctr" upright="1"/>
            <a:lstStyle/>
            <a:p>
              <a:pPr algn="l"/>
              <a:r>
                <a:rPr kumimoji="1" lang="en-US" altLang="ja-JP" sz="1400" b="1" baseline="0">
                  <a:solidFill>
                    <a:schemeClr val="bg1">
                      <a:lumMod val="95000"/>
                    </a:schemeClr>
                  </a:solidFill>
                </a:rPr>
                <a:t>  </a:t>
              </a:r>
              <a:endParaRPr kumimoji="1" lang="ja-JP" altLang="en-US" sz="1400" b="1">
                <a:solidFill>
                  <a:schemeClr val="bg1">
                    <a:lumMod val="95000"/>
                  </a:schemeClr>
                </a:solidFill>
              </a:endParaRPr>
            </a:p>
          </xdr:txBody>
        </xdr:sp>
        <xdr:sp macro="" textlink="">
          <xdr:nvSpPr>
            <xdr:cNvPr id="64" name="正方形/長方形 63"/>
            <xdr:cNvSpPr/>
          </xdr:nvSpPr>
          <xdr:spPr bwMode="auto">
            <a:xfrm>
              <a:off x="200582" y="6724650"/>
              <a:ext cx="7257493" cy="723900"/>
            </a:xfrm>
            <a:prstGeom prst="rect">
              <a:avLst/>
            </a:prstGeom>
            <a:ln w="3175">
              <a:solidFill>
                <a:schemeClr val="accent3">
                  <a:lumMod val="40000"/>
                  <a:lumOff val="6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ctr" upright="1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65" name="正方形/長方形 64"/>
            <xdr:cNvSpPr/>
          </xdr:nvSpPr>
          <xdr:spPr bwMode="auto">
            <a:xfrm>
              <a:off x="200582" y="7287409"/>
              <a:ext cx="7257493" cy="685016"/>
            </a:xfrm>
            <a:prstGeom prst="rect">
              <a:avLst/>
            </a:prstGeom>
            <a:ln w="3175">
              <a:solidFill>
                <a:schemeClr val="accent1">
                  <a:lumMod val="20000"/>
                  <a:lumOff val="8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ctr" upright="1"/>
            <a:lstStyle/>
            <a:p>
              <a:pPr marL="0" marR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ja-JP" altLang="ja-JP">
                <a:effectLst/>
              </a:endParaRPr>
            </a:p>
          </xdr:txBody>
        </xdr:sp>
        <xdr:sp macro="" textlink="">
          <xdr:nvSpPr>
            <xdr:cNvPr id="66" name="正方形/長方形 65"/>
            <xdr:cNvSpPr/>
          </xdr:nvSpPr>
          <xdr:spPr bwMode="auto">
            <a:xfrm>
              <a:off x="190500" y="7848654"/>
              <a:ext cx="7283033" cy="647645"/>
            </a:xfrm>
            <a:prstGeom prst="rect">
              <a:avLst/>
            </a:prstGeom>
            <a:ln w="3175">
              <a:solidFill>
                <a:schemeClr val="accent3">
                  <a:lumMod val="40000"/>
                  <a:lumOff val="6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t" upright="1"/>
            <a:lstStyle/>
            <a:p>
              <a:endParaRPr lang="ja-JP" altLang="en-US"/>
            </a:p>
          </xdr:txBody>
        </xdr:sp>
        <xdr:sp macro="" textlink="">
          <xdr:nvSpPr>
            <xdr:cNvPr id="67" name="正方形/長方形 66"/>
            <xdr:cNvSpPr/>
          </xdr:nvSpPr>
          <xdr:spPr bwMode="auto">
            <a:xfrm>
              <a:off x="200582" y="8409902"/>
              <a:ext cx="7257493" cy="638848"/>
            </a:xfrm>
            <a:prstGeom prst="rect">
              <a:avLst/>
            </a:prstGeom>
            <a:ln w="3175">
              <a:solidFill>
                <a:schemeClr val="accent3">
                  <a:lumMod val="40000"/>
                  <a:lumOff val="6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t" upright="1"/>
            <a:lstStyle/>
            <a:p>
              <a:endParaRPr lang="ja-JP" altLang="en-US"/>
            </a:p>
          </xdr:txBody>
        </xdr:sp>
        <xdr:sp macro="" textlink="">
          <xdr:nvSpPr>
            <xdr:cNvPr id="50" name="正方形/長方形 49"/>
            <xdr:cNvSpPr/>
          </xdr:nvSpPr>
          <xdr:spPr bwMode="auto">
            <a:xfrm>
              <a:off x="238682" y="3267075"/>
              <a:ext cx="7257493" cy="617780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accent3">
                  <a:lumMod val="40000"/>
                  <a:lumOff val="60000"/>
                </a:schemeClr>
              </a:solidFill>
              <a:headEnd type="none" w="med" len="med"/>
              <a:tailEnd type="none" w="med" len="med"/>
            </a:ln>
            <a:extLst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wrap="square" lIns="18288" tIns="0" rIns="0" bIns="0" rtlCol="0" anchor="ctr" upright="1"/>
            <a:lstStyle/>
            <a:p>
              <a:pPr algn="l"/>
              <a:r>
                <a:rPr kumimoji="1" lang="ja-JP" altLang="en-US" sz="1400" b="1" baseline="0">
                  <a:solidFill>
                    <a:schemeClr val="bg1">
                      <a:lumMod val="95000"/>
                    </a:schemeClr>
                  </a:solidFill>
                  <a:latin typeface="HGPｺﾞｼｯｸE" panose="020B0900000000000000" pitchFamily="50" charset="-128"/>
                  <a:ea typeface="HGPｺﾞｼｯｸE" panose="020B0900000000000000" pitchFamily="50" charset="-128"/>
                </a:rPr>
                <a:t>　　　　　　</a:t>
              </a:r>
              <a:r>
                <a:rPr kumimoji="1" lang="ja-JP" altLang="en-US" sz="1600" b="1" baseline="0">
                  <a:solidFill>
                    <a:sysClr val="windowText" lastClr="000000"/>
                  </a:solidFill>
                  <a:latin typeface="HGPｺﾞｼｯｸE" panose="020B0900000000000000" pitchFamily="50" charset="-128"/>
                  <a:ea typeface="HGPｺﾞｼｯｸE" panose="020B0900000000000000" pitchFamily="50" charset="-128"/>
                </a:rPr>
                <a:t>あんた名は、</a:t>
              </a:r>
              <a:endParaRPr kumimoji="1" lang="en-US" altLang="ja-JP" sz="1600" b="1" baseline="0">
                <a:solidFill>
                  <a:sysClr val="windowText" lastClr="000000"/>
                </a:solidFill>
                <a:latin typeface="HGPｺﾞｼｯｸE" panose="020B0900000000000000" pitchFamily="50" charset="-128"/>
                <a:ea typeface="HGPｺﾞｼｯｸE" panose="020B0900000000000000" pitchFamily="50" charset="-128"/>
              </a:endParaRPr>
            </a:p>
            <a:p>
              <a:pPr algn="l"/>
              <a:r>
                <a:rPr kumimoji="1" lang="ja-JP" altLang="en-US" sz="1050" b="1" baseline="0">
                  <a:solidFill>
                    <a:sysClr val="windowText" lastClr="000000"/>
                  </a:solidFill>
                  <a:latin typeface="HGPｺﾞｼｯｸE" panose="020B0900000000000000" pitchFamily="50" charset="-128"/>
                  <a:ea typeface="HGPｺﾞｼｯｸE" panose="020B0900000000000000" pitchFamily="50" charset="-128"/>
                </a:rPr>
                <a:t>　　　　　　</a:t>
              </a:r>
              <a:r>
                <a:rPr kumimoji="1" lang="en-US" altLang="ja-JP" sz="1050" b="1" baseline="0">
                  <a:solidFill>
                    <a:sysClr val="windowText" lastClr="000000"/>
                  </a:solidFill>
                  <a:latin typeface="HGPｺﾞｼｯｸE" panose="020B0900000000000000" pitchFamily="50" charset="-128"/>
                  <a:ea typeface="HGPｺﾞｼｯｸE" panose="020B0900000000000000" pitchFamily="50" charset="-128"/>
                </a:rPr>
                <a:t> </a:t>
              </a:r>
              <a:r>
                <a:rPr kumimoji="1" lang="ja-JP" altLang="en-US" sz="1050" b="1" baseline="0">
                  <a:solidFill>
                    <a:sysClr val="windowText" lastClr="000000"/>
                  </a:solidFill>
                  <a:latin typeface="HGPｺﾞｼｯｸE" panose="020B0900000000000000" pitchFamily="50" charset="-128"/>
                  <a:ea typeface="HGPｺﾞｼｯｸE" panose="020B0900000000000000" pitchFamily="50" charset="-128"/>
                </a:rPr>
                <a:t>　　</a:t>
              </a:r>
              <a:r>
                <a:rPr kumimoji="1" lang="en-US" altLang="ja-JP" sz="1050" b="1" baseline="0">
                  <a:solidFill>
                    <a:sysClr val="windowText" lastClr="000000"/>
                  </a:solidFill>
                  <a:latin typeface="HGPｺﾞｼｯｸE" panose="020B0900000000000000" pitchFamily="50" charset="-128"/>
                  <a:ea typeface="HGPｺﾞｼｯｸE" panose="020B0900000000000000" pitchFamily="50" charset="-128"/>
                </a:rPr>
                <a:t>user: </a:t>
              </a:r>
              <a:r>
                <a:rPr kumimoji="1" lang="ja-JP" altLang="en-US" sz="1050" b="1" baseline="0">
                  <a:solidFill>
                    <a:sysClr val="windowText" lastClr="000000"/>
                  </a:solidFill>
                  <a:latin typeface="HGPｺﾞｼｯｸE" panose="020B0900000000000000" pitchFamily="50" charset="-128"/>
                  <a:ea typeface="HGPｺﾞｼｯｸE" panose="020B0900000000000000" pitchFamily="50" charset="-128"/>
                </a:rPr>
                <a:t>ポプ子　</a:t>
              </a:r>
              <a:r>
                <a:rPr kumimoji="1" lang="en-US" altLang="ja-JP" sz="1050" b="1" baseline="0">
                  <a:solidFill>
                    <a:sysClr val="windowText" lastClr="000000"/>
                  </a:solidFill>
                  <a:latin typeface="HGPｺﾞｼｯｸE" panose="020B0900000000000000" pitchFamily="50" charset="-128"/>
                  <a:ea typeface="HGPｺﾞｼｯｸE" panose="020B0900000000000000" pitchFamily="50" charset="-128"/>
                </a:rPr>
                <a:t> up:2019/08/25</a:t>
              </a:r>
              <a:endParaRPr kumimoji="1" lang="ja-JP" altLang="en-US" sz="1050" b="1">
                <a:solidFill>
                  <a:schemeClr val="bg1">
                    <a:lumMod val="95000"/>
                  </a:schemeClr>
                </a:solidFill>
                <a:latin typeface="HGPｺﾞｼｯｸE" panose="020B0900000000000000" pitchFamily="50" charset="-128"/>
                <a:ea typeface="HGPｺﾞｼｯｸE" panose="020B0900000000000000" pitchFamily="50" charset="-128"/>
              </a:endParaRPr>
            </a:p>
          </xdr:txBody>
        </xdr:sp>
      </xdr:grpSp>
      <xdr:pic>
        <xdr:nvPicPr>
          <xdr:cNvPr id="72" name="図 7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14476" y="3460582"/>
            <a:ext cx="495300" cy="501817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66676</xdr:colOff>
      <xdr:row>30</xdr:row>
      <xdr:rowOff>57150</xdr:rowOff>
    </xdr:from>
    <xdr:to>
      <xdr:col>7</xdr:col>
      <xdr:colOff>180976</xdr:colOff>
      <xdr:row>33</xdr:row>
      <xdr:rowOff>95250</xdr:rowOff>
    </xdr:to>
    <xdr:pic>
      <xdr:nvPicPr>
        <xdr:cNvPr id="21" name="図 20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43" t="47583" r="21094" b="18758"/>
        <a:stretch/>
      </xdr:blipFill>
      <xdr:spPr>
        <a:xfrm>
          <a:off x="1066801" y="4086225"/>
          <a:ext cx="514350" cy="438150"/>
        </a:xfrm>
        <a:prstGeom prst="rect">
          <a:avLst/>
        </a:prstGeom>
      </xdr:spPr>
    </xdr:pic>
    <xdr:clientData/>
  </xdr:twoCellAnchor>
  <xdr:oneCellAnchor>
    <xdr:from>
      <xdr:col>14</xdr:col>
      <xdr:colOff>85725</xdr:colOff>
      <xdr:row>22</xdr:row>
      <xdr:rowOff>9527</xdr:rowOff>
    </xdr:from>
    <xdr:ext cx="1285875" cy="342900"/>
    <xdr:sp macro="" textlink="">
      <xdr:nvSpPr>
        <xdr:cNvPr id="76" name="正方形/長方形 75"/>
        <xdr:cNvSpPr/>
      </xdr:nvSpPr>
      <xdr:spPr>
        <a:xfrm>
          <a:off x="2886075" y="2971802"/>
          <a:ext cx="1285875" cy="3429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en-US" altLang="ja-JP" sz="1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/>
              <a:latin typeface="HGPｺﾞｼｯｸE" panose="020B0900000000000000" pitchFamily="50" charset="-128"/>
              <a:ea typeface="HGPｺﾞｼｯｸE" panose="020B0900000000000000" pitchFamily="50" charset="-128"/>
            </a:rPr>
            <a:t>&lt;&lt;</a:t>
          </a:r>
          <a:r>
            <a:rPr lang="ja-JP" altLang="en-US" sz="1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/>
              <a:latin typeface="HGPｺﾞｼｯｸE" panose="020B0900000000000000" pitchFamily="50" charset="-128"/>
              <a:ea typeface="HGPｺﾞｼｯｸE" panose="020B0900000000000000" pitchFamily="50" charset="-128"/>
            </a:rPr>
            <a:t>次の記事</a:t>
          </a:r>
          <a:endParaRPr lang="en-US" altLang="ja-JP" sz="1400" b="1" cap="none" spc="0">
            <a:ln/>
            <a:solidFill>
              <a:schemeClr val="tx2">
                <a:lumMod val="60000"/>
                <a:lumOff val="40000"/>
              </a:schemeClr>
            </a:solidFill>
            <a:effectLst/>
            <a:latin typeface="HGPｺﾞｼｯｸE" panose="020B0900000000000000" pitchFamily="50" charset="-128"/>
            <a:ea typeface="HGPｺﾞｼｯｸE" panose="020B0900000000000000" pitchFamily="50" charset="-128"/>
          </a:endParaRPr>
        </a:p>
        <a:p>
          <a:pPr algn="ctr"/>
          <a:endParaRPr lang="ja-JP" altLang="en-US" sz="1400" b="1" cap="none" spc="0">
            <a:ln/>
            <a:solidFill>
              <a:schemeClr val="tx2">
                <a:lumMod val="60000"/>
                <a:lumOff val="40000"/>
              </a:schemeClr>
            </a:solidFill>
            <a:effectLst/>
            <a:latin typeface="HGPｺﾞｼｯｸE" panose="020B0900000000000000" pitchFamily="50" charset="-128"/>
            <a:ea typeface="HGPｺﾞｼｯｸE" panose="020B0900000000000000" pitchFamily="50" charset="-128"/>
          </a:endParaRPr>
        </a:p>
      </xdr:txBody>
    </xdr:sp>
    <xdr:clientData/>
  </xdr:oneCellAnchor>
  <xdr:oneCellAnchor>
    <xdr:from>
      <xdr:col>24</xdr:col>
      <xdr:colOff>76201</xdr:colOff>
      <xdr:row>22</xdr:row>
      <xdr:rowOff>9526</xdr:rowOff>
    </xdr:from>
    <xdr:ext cx="1285875" cy="342900"/>
    <xdr:sp macro="" textlink="">
      <xdr:nvSpPr>
        <xdr:cNvPr id="77" name="正方形/長方形 76"/>
        <xdr:cNvSpPr/>
      </xdr:nvSpPr>
      <xdr:spPr>
        <a:xfrm>
          <a:off x="4876801" y="2971801"/>
          <a:ext cx="1285875" cy="3429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ja-JP" altLang="en-US" sz="1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/>
              <a:latin typeface="HGPｺﾞｼｯｸE" panose="020B0900000000000000" pitchFamily="50" charset="-128"/>
              <a:ea typeface="HGPｺﾞｼｯｸE" panose="020B0900000000000000" pitchFamily="50" charset="-128"/>
            </a:rPr>
            <a:t>前の記事</a:t>
          </a:r>
          <a:r>
            <a:rPr lang="en-US" altLang="ja-JP" sz="1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/>
              <a:latin typeface="HGPｺﾞｼｯｸE" panose="020B0900000000000000" pitchFamily="50" charset="-128"/>
              <a:ea typeface="HGPｺﾞｼｯｸE" panose="020B0900000000000000" pitchFamily="50" charset="-128"/>
            </a:rPr>
            <a:t>&gt;&gt;</a:t>
          </a:r>
        </a:p>
        <a:p>
          <a:pPr algn="ctr"/>
          <a:endParaRPr lang="ja-JP" altLang="en-US" sz="1400" b="1" cap="none" spc="0">
            <a:ln/>
            <a:solidFill>
              <a:schemeClr val="tx2">
                <a:lumMod val="60000"/>
                <a:lumOff val="40000"/>
              </a:schemeClr>
            </a:solidFill>
            <a:effectLst/>
            <a:latin typeface="HGPｺﾞｼｯｸE" panose="020B0900000000000000" pitchFamily="50" charset="-128"/>
            <a:ea typeface="HGPｺﾞｼｯｸE" panose="020B0900000000000000" pitchFamily="50" charset="-128"/>
          </a:endParaRPr>
        </a:p>
      </xdr:txBody>
    </xdr:sp>
    <xdr:clientData/>
  </xdr:oneCellAnchor>
  <xdr:twoCellAnchor>
    <xdr:from>
      <xdr:col>22</xdr:col>
      <xdr:colOff>85726</xdr:colOff>
      <xdr:row>18</xdr:row>
      <xdr:rowOff>85726</xdr:rowOff>
    </xdr:from>
    <xdr:to>
      <xdr:col>26</xdr:col>
      <xdr:colOff>1</xdr:colOff>
      <xdr:row>21</xdr:row>
      <xdr:rowOff>123826</xdr:rowOff>
    </xdr:to>
    <xdr:cxnSp macro="">
      <xdr:nvCxnSpPr>
        <xdr:cNvPr id="78" name="直線矢印コネクタ 77"/>
        <xdr:cNvCxnSpPr/>
      </xdr:nvCxnSpPr>
      <xdr:spPr bwMode="auto">
        <a:xfrm>
          <a:off x="4486276" y="2514601"/>
          <a:ext cx="714375" cy="438150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85726</xdr:colOff>
      <xdr:row>18</xdr:row>
      <xdr:rowOff>66676</xdr:rowOff>
    </xdr:from>
    <xdr:to>
      <xdr:col>21</xdr:col>
      <xdr:colOff>123826</xdr:colOff>
      <xdr:row>22</xdr:row>
      <xdr:rowOff>9526</xdr:rowOff>
    </xdr:to>
    <xdr:cxnSp macro="">
      <xdr:nvCxnSpPr>
        <xdr:cNvPr id="79" name="直線矢印コネクタ 78"/>
        <xdr:cNvCxnSpPr/>
      </xdr:nvCxnSpPr>
      <xdr:spPr bwMode="auto">
        <a:xfrm flipH="1">
          <a:off x="3686176" y="2495551"/>
          <a:ext cx="638175" cy="476250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21</xdr:col>
      <xdr:colOff>19051</xdr:colOff>
      <xdr:row>16</xdr:row>
      <xdr:rowOff>66675</xdr:rowOff>
    </xdr:from>
    <xdr:ext cx="485775" cy="285751"/>
    <xdr:sp macro="" textlink="">
      <xdr:nvSpPr>
        <xdr:cNvPr id="80" name="正方形/長方形 79"/>
        <xdr:cNvSpPr/>
      </xdr:nvSpPr>
      <xdr:spPr>
        <a:xfrm>
          <a:off x="4219576" y="2228850"/>
          <a:ext cx="485775" cy="285751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④</a:t>
          </a:r>
        </a:p>
      </xdr:txBody>
    </xdr:sp>
    <xdr:clientData/>
  </xdr:oneCellAnchor>
  <xdr:twoCellAnchor>
    <xdr:from>
      <xdr:col>35</xdr:col>
      <xdr:colOff>123827</xdr:colOff>
      <xdr:row>32</xdr:row>
      <xdr:rowOff>9527</xdr:rowOff>
    </xdr:from>
    <xdr:to>
      <xdr:col>39</xdr:col>
      <xdr:colOff>104775</xdr:colOff>
      <xdr:row>32</xdr:row>
      <xdr:rowOff>28575</xdr:rowOff>
    </xdr:to>
    <xdr:cxnSp macro="">
      <xdr:nvCxnSpPr>
        <xdr:cNvPr id="31" name="直線矢印コネクタ 30"/>
        <xdr:cNvCxnSpPr/>
      </xdr:nvCxnSpPr>
      <xdr:spPr bwMode="auto">
        <a:xfrm flipH="1" flipV="1">
          <a:off x="7124702" y="4305302"/>
          <a:ext cx="781048" cy="19048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38100</xdr:colOff>
      <xdr:row>43</xdr:row>
      <xdr:rowOff>114300</xdr:rowOff>
    </xdr:from>
    <xdr:to>
      <xdr:col>50</xdr:col>
      <xdr:colOff>152400</xdr:colOff>
      <xdr:row>44</xdr:row>
      <xdr:rowOff>57150</xdr:rowOff>
    </xdr:to>
    <xdr:cxnSp macro="">
      <xdr:nvCxnSpPr>
        <xdr:cNvPr id="44" name="直線矢印コネクタ 43"/>
        <xdr:cNvCxnSpPr/>
      </xdr:nvCxnSpPr>
      <xdr:spPr bwMode="auto">
        <a:xfrm flipV="1">
          <a:off x="8639175" y="5876925"/>
          <a:ext cx="1514475" cy="76200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25</xdr:row>
      <xdr:rowOff>9525</xdr:rowOff>
    </xdr:from>
    <xdr:to>
      <xdr:col>36</xdr:col>
      <xdr:colOff>104775</xdr:colOff>
      <xdr:row>95</xdr:row>
      <xdr:rowOff>66674</xdr:rowOff>
    </xdr:to>
    <xdr:sp macro="" textlink="">
      <xdr:nvSpPr>
        <xdr:cNvPr id="5" name="テキスト ボックス 4"/>
        <xdr:cNvSpPr txBox="1"/>
      </xdr:nvSpPr>
      <xdr:spPr>
        <a:xfrm>
          <a:off x="1000125" y="3371850"/>
          <a:ext cx="6305550" cy="9391649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kumimoji="1" lang="en-US" altLang="ja-JP" sz="4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r"/>
          <a:r>
            <a:rPr kumimoji="1" lang="en-US" altLang="ja-JP" sz="140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chemeClr val="tx1"/>
              </a:solidFill>
            </a:rPr>
            <a:t>uproad:2019/08/25</a:t>
          </a:r>
          <a:r>
            <a:rPr kumimoji="1" lang="ja-JP" altLang="en-US" sz="120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</a:rPr>
            <a:t>　</a:t>
          </a:r>
          <a:endParaRPr kumimoji="1" lang="en-US" altLang="ja-JP" sz="12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r>
            <a:rPr kumimoji="1" lang="ja-JP" altLang="en-US" sz="200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</a:rPr>
            <a:t>　　俺は、おれだあああああああああああ</a:t>
          </a:r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endParaRPr kumimoji="1" lang="en-US" altLang="ja-JP" sz="2000" b="0" baseline="0">
            <a:ln>
              <a:solidFill>
                <a:schemeClr val="accent3">
                  <a:lumMod val="60000"/>
                  <a:lumOff val="40000"/>
                </a:schemeClr>
              </a:solidFill>
            </a:ln>
          </a:endParaRPr>
        </a:p>
        <a:p>
          <a:pPr algn="l"/>
          <a:r>
            <a:rPr kumimoji="1" lang="en-US" altLang="ja-JP" sz="1100" b="1" baseline="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</a:rPr>
            <a:t>    	</a:t>
          </a:r>
          <a:r>
            <a:rPr kumimoji="1" lang="ja-JP" altLang="en-US" sz="1100" b="1" baseline="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</a:rPr>
            <a:t>　ポプ子かわいい</a:t>
          </a:r>
          <a:r>
            <a:rPr kumimoji="1" lang="en-US" altLang="ja-JP" sz="1100" b="1" baseline="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			</a:t>
          </a:r>
        </a:p>
        <a:p>
          <a:pPr algn="l"/>
          <a:endParaRPr kumimoji="1" lang="en-US" altLang="ja-JP" sz="1100" b="1" baseline="0">
            <a:ln>
              <a:solidFill>
                <a:schemeClr val="accent3">
                  <a:lumMod val="60000"/>
                  <a:lumOff val="40000"/>
                </a:schemeClr>
              </a:solidFill>
            </a:ln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 b="1" baseline="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　</a:t>
          </a:r>
          <a:r>
            <a:rPr kumimoji="1" lang="en-US" altLang="ja-JP" sz="1100" b="1" baseline="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				</a:t>
          </a:r>
          <a:r>
            <a:rPr kumimoji="1" lang="ja-JP" altLang="en-US" sz="1100" b="1" baseline="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　　　　　　</a:t>
          </a:r>
          <a:r>
            <a:rPr kumimoji="1" lang="en-US" altLang="ja-JP" sz="1100" b="1" baseline="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2019/08/26</a:t>
          </a:r>
        </a:p>
        <a:p>
          <a:pPr algn="l"/>
          <a:endParaRPr kumimoji="1" lang="en-US" altLang="ja-JP" sz="1100" b="1" baseline="0">
            <a:ln>
              <a:solidFill>
                <a:schemeClr val="accent3">
                  <a:lumMod val="60000"/>
                  <a:lumOff val="40000"/>
                </a:schemeClr>
              </a:solidFill>
            </a:ln>
            <a:solidFill>
              <a:sysClr val="windowText" lastClr="000000"/>
            </a:solidFill>
          </a:endParaRPr>
        </a:p>
        <a:p>
          <a:pPr algn="l"/>
          <a:endParaRPr kumimoji="1" lang="en-US" altLang="ja-JP" sz="1100" b="1" baseline="0">
            <a:ln>
              <a:solidFill>
                <a:schemeClr val="accent3">
                  <a:lumMod val="60000"/>
                  <a:lumOff val="40000"/>
                </a:schemeClr>
              </a:solidFill>
            </a:ln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 b="1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	</a:t>
          </a:r>
          <a:r>
            <a:rPr kumimoji="1" lang="ja-JP" altLang="en-US" sz="1100" b="1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　ピピ美もいいぞ</a:t>
          </a:r>
          <a:endParaRPr kumimoji="1" lang="en-US" altLang="ja-JP" sz="1100" b="1">
            <a:ln>
              <a:solidFill>
                <a:schemeClr val="accent3">
                  <a:lumMod val="60000"/>
                  <a:lumOff val="40000"/>
                </a:schemeClr>
              </a:solidFill>
            </a:ln>
            <a:solidFill>
              <a:sysClr val="windowText" lastClr="000000"/>
            </a:solidFill>
          </a:endParaRPr>
        </a:p>
        <a:p>
          <a:pPr algn="l"/>
          <a:endParaRPr kumimoji="1" lang="en-US" altLang="ja-JP" sz="1100" b="1">
            <a:ln>
              <a:solidFill>
                <a:schemeClr val="accent3">
                  <a:lumMod val="60000"/>
                  <a:lumOff val="40000"/>
                </a:schemeClr>
              </a:solidFill>
            </a:ln>
            <a:solidFill>
              <a:sysClr val="windowText" lastClr="000000"/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1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				</a:t>
          </a:r>
          <a:r>
            <a:rPr kumimoji="1" lang="ja-JP" altLang="en-US" sz="1100" b="1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　　　　　</a:t>
          </a:r>
          <a:r>
            <a:rPr kumimoji="1" lang="ja-JP" altLang="en-US" sz="1100" b="0">
              <a:ln>
                <a:solidFill>
                  <a:schemeClr val="accent3">
                    <a:lumMod val="60000"/>
                    <a:lumOff val="40000"/>
                  </a:schemeClr>
                </a:solidFill>
              </a:ln>
              <a:solidFill>
                <a:sysClr val="windowText" lastClr="000000"/>
              </a:solidFill>
            </a:rPr>
            <a:t>　</a:t>
          </a:r>
          <a:r>
            <a:rPr kumimoji="1" lang="en-US" altLang="ja-JP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2019/08/26</a:t>
          </a:r>
          <a:endParaRPr lang="ja-JP" altLang="ja-JP" b="0">
            <a:effectLst/>
          </a:endParaRPr>
        </a:p>
      </xdr:txBody>
    </xdr:sp>
    <xdr:clientData/>
  </xdr:twoCellAnchor>
  <xdr:oneCellAnchor>
    <xdr:from>
      <xdr:col>13</xdr:col>
      <xdr:colOff>200024</xdr:colOff>
      <xdr:row>65</xdr:row>
      <xdr:rowOff>0</xdr:rowOff>
    </xdr:from>
    <xdr:ext cx="1057274" cy="323851"/>
    <xdr:sp macro="" textlink="">
      <xdr:nvSpPr>
        <xdr:cNvPr id="10" name="正方形/長方形 9"/>
        <xdr:cNvSpPr/>
      </xdr:nvSpPr>
      <xdr:spPr>
        <a:xfrm>
          <a:off x="2800349" y="5095875"/>
          <a:ext cx="1057274" cy="3238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ja-JP" altLang="en-US" sz="1400" b="1" cap="none" spc="0">
            <a:ln w="0"/>
            <a:solidFill>
              <a:sysClr val="windowText" lastClr="00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ea"/>
            <a:ea typeface="+mn-ea"/>
          </a:endParaRPr>
        </a:p>
      </xdr:txBody>
    </xdr:sp>
    <xdr:clientData/>
  </xdr:oneCellAnchor>
  <xdr:oneCellAnchor>
    <xdr:from>
      <xdr:col>16</xdr:col>
      <xdr:colOff>152401</xdr:colOff>
      <xdr:row>22</xdr:row>
      <xdr:rowOff>28575</xdr:rowOff>
    </xdr:from>
    <xdr:ext cx="1133474" cy="323851"/>
    <xdr:sp macro="" textlink="">
      <xdr:nvSpPr>
        <xdr:cNvPr id="11" name="正方形/長方形 10"/>
        <xdr:cNvSpPr/>
      </xdr:nvSpPr>
      <xdr:spPr>
        <a:xfrm>
          <a:off x="3352801" y="2990850"/>
          <a:ext cx="1133474" cy="3238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ja-JP" altLang="en-US" sz="1400" b="1" cap="none" spc="0">
            <a:ln w="0"/>
            <a:solidFill>
              <a:srgbClr val="0070C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ea"/>
            <a:ea typeface="+mn-ea"/>
          </a:endParaRPr>
        </a:p>
      </xdr:txBody>
    </xdr:sp>
    <xdr:clientData/>
  </xdr:oneCellAnchor>
  <xdr:oneCellAnchor>
    <xdr:from>
      <xdr:col>38</xdr:col>
      <xdr:colOff>152400</xdr:colOff>
      <xdr:row>5</xdr:row>
      <xdr:rowOff>57150</xdr:rowOff>
    </xdr:from>
    <xdr:ext cx="485775" cy="295276"/>
    <xdr:sp macro="" textlink="">
      <xdr:nvSpPr>
        <xdr:cNvPr id="12" name="正方形/長方形 11"/>
        <xdr:cNvSpPr/>
      </xdr:nvSpPr>
      <xdr:spPr>
        <a:xfrm>
          <a:off x="7753350" y="752475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①</a:t>
          </a:r>
        </a:p>
      </xdr:txBody>
    </xdr:sp>
    <xdr:clientData/>
  </xdr:oneCellAnchor>
  <xdr:oneCellAnchor>
    <xdr:from>
      <xdr:col>47</xdr:col>
      <xdr:colOff>9525</xdr:colOff>
      <xdr:row>9</xdr:row>
      <xdr:rowOff>38100</xdr:rowOff>
    </xdr:from>
    <xdr:ext cx="485775" cy="295276"/>
    <xdr:sp macro="" textlink="">
      <xdr:nvSpPr>
        <xdr:cNvPr id="13" name="正方形/長方形 12"/>
        <xdr:cNvSpPr/>
      </xdr:nvSpPr>
      <xdr:spPr>
        <a:xfrm>
          <a:off x="9410700" y="1266825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②</a:t>
          </a:r>
        </a:p>
      </xdr:txBody>
    </xdr:sp>
    <xdr:clientData/>
  </xdr:oneCellAnchor>
  <xdr:oneCellAnchor>
    <xdr:from>
      <xdr:col>18</xdr:col>
      <xdr:colOff>123825</xdr:colOff>
      <xdr:row>16</xdr:row>
      <xdr:rowOff>38100</xdr:rowOff>
    </xdr:from>
    <xdr:ext cx="390526" cy="304801"/>
    <xdr:sp macro="" textlink="">
      <xdr:nvSpPr>
        <xdr:cNvPr id="16" name="正方形/長方形 15"/>
        <xdr:cNvSpPr/>
      </xdr:nvSpPr>
      <xdr:spPr>
        <a:xfrm>
          <a:off x="3724275" y="2200275"/>
          <a:ext cx="390526" cy="304801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⑤</a:t>
          </a:r>
        </a:p>
      </xdr:txBody>
    </xdr:sp>
    <xdr:clientData/>
  </xdr:oneCellAnchor>
  <xdr:oneCellAnchor>
    <xdr:from>
      <xdr:col>41</xdr:col>
      <xdr:colOff>28575</xdr:colOff>
      <xdr:row>85</xdr:row>
      <xdr:rowOff>19050</xdr:rowOff>
    </xdr:from>
    <xdr:ext cx="485775" cy="428625"/>
    <xdr:sp macro="" textlink="">
      <xdr:nvSpPr>
        <xdr:cNvPr id="17" name="正方形/長方形 16"/>
        <xdr:cNvSpPr/>
      </xdr:nvSpPr>
      <xdr:spPr>
        <a:xfrm>
          <a:off x="8229600" y="11382375"/>
          <a:ext cx="485775" cy="428625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⑪</a:t>
          </a:r>
        </a:p>
      </xdr:txBody>
    </xdr:sp>
    <xdr:clientData/>
  </xdr:oneCellAnchor>
  <xdr:twoCellAnchor>
    <xdr:from>
      <xdr:col>48</xdr:col>
      <xdr:colOff>47625</xdr:colOff>
      <xdr:row>7</xdr:row>
      <xdr:rowOff>57150</xdr:rowOff>
    </xdr:from>
    <xdr:to>
      <xdr:col>48</xdr:col>
      <xdr:colOff>76200</xdr:colOff>
      <xdr:row>9</xdr:row>
      <xdr:rowOff>66675</xdr:rowOff>
    </xdr:to>
    <xdr:cxnSp macro="">
      <xdr:nvCxnSpPr>
        <xdr:cNvPr id="18" name="直線矢印コネクタ 17"/>
        <xdr:cNvCxnSpPr/>
      </xdr:nvCxnSpPr>
      <xdr:spPr bwMode="auto">
        <a:xfrm flipV="1">
          <a:off x="9648825" y="1019175"/>
          <a:ext cx="28575" cy="276225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47627</xdr:colOff>
      <xdr:row>86</xdr:row>
      <xdr:rowOff>95250</xdr:rowOff>
    </xdr:from>
    <xdr:to>
      <xdr:col>41</xdr:col>
      <xdr:colOff>76200</xdr:colOff>
      <xdr:row>89</xdr:row>
      <xdr:rowOff>66676</xdr:rowOff>
    </xdr:to>
    <xdr:cxnSp macro="">
      <xdr:nvCxnSpPr>
        <xdr:cNvPr id="20" name="直線矢印コネクタ 19"/>
        <xdr:cNvCxnSpPr/>
      </xdr:nvCxnSpPr>
      <xdr:spPr bwMode="auto">
        <a:xfrm flipH="1">
          <a:off x="6448427" y="11591925"/>
          <a:ext cx="1828798" cy="371476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41</xdr:col>
      <xdr:colOff>142875</xdr:colOff>
      <xdr:row>52</xdr:row>
      <xdr:rowOff>28575</xdr:rowOff>
    </xdr:from>
    <xdr:ext cx="485775" cy="295276"/>
    <xdr:sp macro="" textlink="">
      <xdr:nvSpPr>
        <xdr:cNvPr id="22" name="正方形/長方形 21"/>
        <xdr:cNvSpPr/>
      </xdr:nvSpPr>
      <xdr:spPr>
        <a:xfrm>
          <a:off x="8343900" y="6991350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⑧</a:t>
          </a:r>
        </a:p>
      </xdr:txBody>
    </xdr:sp>
    <xdr:clientData/>
  </xdr:oneCellAnchor>
  <xdr:twoCellAnchor>
    <xdr:from>
      <xdr:col>53</xdr:col>
      <xdr:colOff>38100</xdr:colOff>
      <xdr:row>57</xdr:row>
      <xdr:rowOff>123824</xdr:rowOff>
    </xdr:from>
    <xdr:to>
      <xdr:col>64</xdr:col>
      <xdr:colOff>190500</xdr:colOff>
      <xdr:row>68</xdr:row>
      <xdr:rowOff>133349</xdr:rowOff>
    </xdr:to>
    <xdr:sp macro="" textlink="">
      <xdr:nvSpPr>
        <xdr:cNvPr id="25" name="四角形吹き出し 24"/>
        <xdr:cNvSpPr/>
      </xdr:nvSpPr>
      <xdr:spPr bwMode="auto">
        <a:xfrm>
          <a:off x="10639425" y="7753349"/>
          <a:ext cx="2352675" cy="1476375"/>
        </a:xfrm>
        <a:prstGeom prst="wedgeRectCallout">
          <a:avLst>
            <a:gd name="adj1" fmla="val -116379"/>
            <a:gd name="adj2" fmla="val 47992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/>
            <a:t>bootstrap</a:t>
          </a:r>
          <a:r>
            <a:rPr kumimoji="1" lang="ja-JP" altLang="en-US" sz="1100"/>
            <a:t>使ってアプリケーションのページにスクロールをつける</a:t>
          </a:r>
        </a:p>
      </xdr:txBody>
    </xdr:sp>
    <xdr:clientData/>
  </xdr:twoCellAnchor>
  <xdr:twoCellAnchor>
    <xdr:from>
      <xdr:col>0</xdr:col>
      <xdr:colOff>0</xdr:colOff>
      <xdr:row>4</xdr:row>
      <xdr:rowOff>9524</xdr:rowOff>
    </xdr:from>
    <xdr:to>
      <xdr:col>51</xdr:col>
      <xdr:colOff>200023</xdr:colOff>
      <xdr:row>95</xdr:row>
      <xdr:rowOff>133349</xdr:rowOff>
    </xdr:to>
    <xdr:grpSp>
      <xdr:nvGrpSpPr>
        <xdr:cNvPr id="32" name="グループ化 31"/>
        <xdr:cNvGrpSpPr/>
      </xdr:nvGrpSpPr>
      <xdr:grpSpPr>
        <a:xfrm>
          <a:off x="0" y="571499"/>
          <a:ext cx="10401298" cy="12258675"/>
          <a:chOff x="0" y="571499"/>
          <a:chExt cx="10401298" cy="12258675"/>
        </a:xfrm>
      </xdr:grpSpPr>
      <xdr:sp macro="" textlink="">
        <xdr:nvSpPr>
          <xdr:cNvPr id="2" name="角丸四角形 20"/>
          <xdr:cNvSpPr>
            <a:spLocks noChangeArrowheads="1"/>
          </xdr:cNvSpPr>
        </xdr:nvSpPr>
        <xdr:spPr bwMode="auto">
          <a:xfrm>
            <a:off x="0" y="600074"/>
            <a:ext cx="10153649" cy="2324101"/>
          </a:xfrm>
          <a:prstGeom prst="roundRect">
            <a:avLst>
              <a:gd name="adj" fmla="val 16667"/>
            </a:avLst>
          </a:prstGeom>
          <a:ln>
            <a:headEnd/>
            <a:tailEnd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anchor="ctr"/>
          <a:lstStyle/>
          <a:p>
            <a:pPr algn="ctr"/>
            <a:r>
              <a:rPr lang="ja-JP" altLang="en-US" sz="5400" b="0" cap="none" spc="0">
                <a:ln w="18415" cmpd="sng">
                  <a:solidFill>
                    <a:schemeClr val="bg1"/>
                  </a:solidFill>
                  <a:prstDash val="solid"/>
                </a:ln>
                <a:solidFill>
                  <a:schemeClr val="bg1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ヘッダー</a:t>
            </a:r>
          </a:p>
        </xdr:txBody>
      </xdr:sp>
      <xdr:sp macro="" textlink="">
        <xdr:nvSpPr>
          <xdr:cNvPr id="3" name="正方形/長方形 2"/>
          <xdr:cNvSpPr/>
        </xdr:nvSpPr>
        <xdr:spPr>
          <a:xfrm>
            <a:off x="9077325" y="742949"/>
            <a:ext cx="1121536" cy="29616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ja-JP" altLang="en-US" sz="1400" b="1" cap="none" spc="0">
                <a:ln w="0"/>
                <a:solidFill>
                  <a:srgbClr val="0070C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+mn-ea"/>
                <a:ea typeface="+mn-ea"/>
              </a:rPr>
              <a:t>ログアウト</a:t>
            </a:r>
            <a:endParaRPr lang="en-US" altLang="ja-JP" sz="1400" b="1" cap="none" spc="0">
              <a:ln w="0"/>
              <a:solidFill>
                <a:srgbClr val="0070C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endParaRPr>
          </a:p>
        </xdr:txBody>
      </xdr:sp>
      <xdr:sp macro="" textlink="">
        <xdr:nvSpPr>
          <xdr:cNvPr id="4" name="正方形/長方形 3"/>
          <xdr:cNvSpPr/>
        </xdr:nvSpPr>
        <xdr:spPr>
          <a:xfrm>
            <a:off x="8172449" y="742950"/>
            <a:ext cx="1038225" cy="295276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ja-JP" altLang="en-US" sz="1400" b="1" cap="none" spc="0">
                <a:ln w="0"/>
                <a:solidFill>
                  <a:srgbClr val="0070C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+mn-ea"/>
                <a:ea typeface="+mn-ea"/>
              </a:rPr>
              <a:t>マイページ</a:t>
            </a:r>
          </a:p>
        </xdr:txBody>
      </xdr:sp>
      <xdr:sp macro="" textlink="">
        <xdr:nvSpPr>
          <xdr:cNvPr id="8" name="正方形/長方形 7"/>
          <xdr:cNvSpPr/>
        </xdr:nvSpPr>
        <xdr:spPr>
          <a:xfrm>
            <a:off x="171450" y="1590675"/>
            <a:ext cx="3267075" cy="342900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altLang="ja-JP" sz="16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HGP創英角ﾎﾟｯﾌﾟ体" panose="040B0A00000000000000" pitchFamily="50" charset="-128"/>
                <a:ea typeface="HGP創英角ﾎﾟｯﾌﾟ体" panose="040B0A00000000000000" pitchFamily="50" charset="-128"/>
              </a:rPr>
              <a:t>ICT</a:t>
            </a:r>
            <a:r>
              <a:rPr lang="ja-JP" altLang="en-US" sz="16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HGP創英角ﾎﾟｯﾌﾟ体" panose="040B0A00000000000000" pitchFamily="50" charset="-128"/>
                <a:ea typeface="HGP創英角ﾎﾟｯﾌﾟ体" panose="040B0A00000000000000" pitchFamily="50" charset="-128"/>
              </a:rPr>
              <a:t>５月生　ポートフォリオ（仮）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41" name="ScrollBar1" hidden="1">
                <a:extLst>
                  <a:ext uri="{63B3BB69-23CF-44E3-9099-C40C66FF867C}">
                    <a14:compatExt spid="_x0000_s9241"/>
                  </a:ext>
                </a:extLst>
              </xdr:cNvPr>
              <xdr:cNvSpPr/>
            </xdr:nvSpPr>
            <xdr:spPr bwMode="auto">
              <a:xfrm>
                <a:off x="10191750" y="571499"/>
                <a:ext cx="209548" cy="122586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152400</xdr:colOff>
      <xdr:row>25</xdr:row>
      <xdr:rowOff>95250</xdr:rowOff>
    </xdr:from>
    <xdr:to>
      <xdr:col>35</xdr:col>
      <xdr:colOff>95249</xdr:colOff>
      <xdr:row>29</xdr:row>
      <xdr:rowOff>28575</xdr:rowOff>
    </xdr:to>
    <xdr:sp macro="" textlink="">
      <xdr:nvSpPr>
        <xdr:cNvPr id="26" name="テキスト ボックス 25"/>
        <xdr:cNvSpPr txBox="1"/>
      </xdr:nvSpPr>
      <xdr:spPr>
        <a:xfrm>
          <a:off x="1152525" y="3457575"/>
          <a:ext cx="5943599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あんた名は、</a:t>
          </a:r>
        </a:p>
      </xdr:txBody>
    </xdr:sp>
    <xdr:clientData/>
  </xdr:twoCellAnchor>
  <xdr:oneCellAnchor>
    <xdr:from>
      <xdr:col>11</xdr:col>
      <xdr:colOff>133349</xdr:colOff>
      <xdr:row>22</xdr:row>
      <xdr:rowOff>76201</xdr:rowOff>
    </xdr:from>
    <xdr:ext cx="1285875" cy="342900"/>
    <xdr:sp macro="" textlink="">
      <xdr:nvSpPr>
        <xdr:cNvPr id="27" name="正方形/長方形 26"/>
        <xdr:cNvSpPr/>
      </xdr:nvSpPr>
      <xdr:spPr>
        <a:xfrm>
          <a:off x="2333624" y="3038476"/>
          <a:ext cx="1285875" cy="3429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en-US" altLang="ja-JP" sz="1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/>
              <a:latin typeface="HGPｺﾞｼｯｸE" panose="020B0900000000000000" pitchFamily="50" charset="-128"/>
              <a:ea typeface="HGPｺﾞｼｯｸE" panose="020B0900000000000000" pitchFamily="50" charset="-128"/>
            </a:rPr>
            <a:t>&lt;&lt;</a:t>
          </a:r>
          <a:r>
            <a:rPr lang="ja-JP" altLang="en-US" sz="1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/>
              <a:latin typeface="HGPｺﾞｼｯｸE" panose="020B0900000000000000" pitchFamily="50" charset="-128"/>
              <a:ea typeface="HGPｺﾞｼｯｸE" panose="020B0900000000000000" pitchFamily="50" charset="-128"/>
            </a:rPr>
            <a:t>次の記事</a:t>
          </a:r>
          <a:endParaRPr lang="en-US" altLang="ja-JP" sz="1400" b="1" cap="none" spc="0">
            <a:ln/>
            <a:solidFill>
              <a:schemeClr val="tx2">
                <a:lumMod val="60000"/>
                <a:lumOff val="40000"/>
              </a:schemeClr>
            </a:solidFill>
            <a:effectLst/>
            <a:latin typeface="HGPｺﾞｼｯｸE" panose="020B0900000000000000" pitchFamily="50" charset="-128"/>
            <a:ea typeface="HGPｺﾞｼｯｸE" panose="020B0900000000000000" pitchFamily="50" charset="-128"/>
          </a:endParaRPr>
        </a:p>
        <a:p>
          <a:pPr algn="ctr"/>
          <a:endParaRPr lang="ja-JP" altLang="en-US" sz="1400" b="1" cap="none" spc="0">
            <a:ln/>
            <a:solidFill>
              <a:schemeClr val="tx2">
                <a:lumMod val="60000"/>
                <a:lumOff val="40000"/>
              </a:schemeClr>
            </a:solidFill>
            <a:effectLst/>
            <a:latin typeface="HGPｺﾞｼｯｸE" panose="020B0900000000000000" pitchFamily="50" charset="-128"/>
            <a:ea typeface="HGPｺﾞｼｯｸE" panose="020B0900000000000000" pitchFamily="50" charset="-128"/>
          </a:endParaRPr>
        </a:p>
      </xdr:txBody>
    </xdr:sp>
    <xdr:clientData/>
  </xdr:oneCellAnchor>
  <xdr:oneCellAnchor>
    <xdr:from>
      <xdr:col>21</xdr:col>
      <xdr:colOff>123825</xdr:colOff>
      <xdr:row>22</xdr:row>
      <xdr:rowOff>76200</xdr:rowOff>
    </xdr:from>
    <xdr:ext cx="1285875" cy="342900"/>
    <xdr:sp macro="" textlink="">
      <xdr:nvSpPr>
        <xdr:cNvPr id="30" name="正方形/長方形 29"/>
        <xdr:cNvSpPr/>
      </xdr:nvSpPr>
      <xdr:spPr>
        <a:xfrm>
          <a:off x="4324350" y="3038475"/>
          <a:ext cx="1285875" cy="3429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ja-JP" altLang="en-US" sz="1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/>
              <a:latin typeface="HGPｺﾞｼｯｸE" panose="020B0900000000000000" pitchFamily="50" charset="-128"/>
              <a:ea typeface="HGPｺﾞｼｯｸE" panose="020B0900000000000000" pitchFamily="50" charset="-128"/>
            </a:rPr>
            <a:t>前の記事</a:t>
          </a:r>
          <a:r>
            <a:rPr lang="en-US" altLang="ja-JP" sz="1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/>
              <a:latin typeface="HGPｺﾞｼｯｸE" panose="020B0900000000000000" pitchFamily="50" charset="-128"/>
              <a:ea typeface="HGPｺﾞｼｯｸE" panose="020B0900000000000000" pitchFamily="50" charset="-128"/>
            </a:rPr>
            <a:t>&gt;&gt;</a:t>
          </a:r>
        </a:p>
        <a:p>
          <a:pPr algn="ctr"/>
          <a:endParaRPr lang="ja-JP" altLang="en-US" sz="1400" b="1" cap="none" spc="0">
            <a:ln/>
            <a:solidFill>
              <a:schemeClr val="tx2">
                <a:lumMod val="60000"/>
                <a:lumOff val="40000"/>
              </a:schemeClr>
            </a:solidFill>
            <a:effectLst/>
            <a:latin typeface="HGPｺﾞｼｯｸE" panose="020B0900000000000000" pitchFamily="50" charset="-128"/>
            <a:ea typeface="HGPｺﾞｼｯｸE" panose="020B0900000000000000" pitchFamily="50" charset="-128"/>
          </a:endParaRPr>
        </a:p>
      </xdr:txBody>
    </xdr:sp>
    <xdr:clientData/>
  </xdr:oneCellAnchor>
  <xdr:twoCellAnchor>
    <xdr:from>
      <xdr:col>19</xdr:col>
      <xdr:colOff>133350</xdr:colOff>
      <xdr:row>19</xdr:row>
      <xdr:rowOff>19050</xdr:rowOff>
    </xdr:from>
    <xdr:to>
      <xdr:col>23</xdr:col>
      <xdr:colOff>47625</xdr:colOff>
      <xdr:row>22</xdr:row>
      <xdr:rowOff>57150</xdr:rowOff>
    </xdr:to>
    <xdr:cxnSp macro="">
      <xdr:nvCxnSpPr>
        <xdr:cNvPr id="33" name="直線矢印コネクタ 32"/>
        <xdr:cNvCxnSpPr/>
      </xdr:nvCxnSpPr>
      <xdr:spPr bwMode="auto">
        <a:xfrm>
          <a:off x="3933825" y="2581275"/>
          <a:ext cx="714375" cy="438150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180978</xdr:colOff>
      <xdr:row>47</xdr:row>
      <xdr:rowOff>85726</xdr:rowOff>
    </xdr:from>
    <xdr:to>
      <xdr:col>41</xdr:col>
      <xdr:colOff>180975</xdr:colOff>
      <xdr:row>52</xdr:row>
      <xdr:rowOff>38100</xdr:rowOff>
    </xdr:to>
    <xdr:cxnSp macro="">
      <xdr:nvCxnSpPr>
        <xdr:cNvPr id="43" name="直線矢印コネクタ 42"/>
        <xdr:cNvCxnSpPr/>
      </xdr:nvCxnSpPr>
      <xdr:spPr bwMode="auto">
        <a:xfrm flipH="1" flipV="1">
          <a:off x="6581778" y="6381751"/>
          <a:ext cx="1800222" cy="619124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171450</xdr:colOff>
          <xdr:row>92</xdr:row>
          <xdr:rowOff>76200</xdr:rowOff>
        </xdr:from>
        <xdr:to>
          <xdr:col>31</xdr:col>
          <xdr:colOff>180975</xdr:colOff>
          <xdr:row>94</xdr:row>
          <xdr:rowOff>104775</xdr:rowOff>
        </xdr:to>
        <xdr:sp macro="" textlink="">
          <xdr:nvSpPr>
            <xdr:cNvPr id="9272" name="CommandButton1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85</xdr:row>
          <xdr:rowOff>104775</xdr:rowOff>
        </xdr:from>
        <xdr:to>
          <xdr:col>30</xdr:col>
          <xdr:colOff>190500</xdr:colOff>
          <xdr:row>92</xdr:row>
          <xdr:rowOff>19050</xdr:rowOff>
        </xdr:to>
        <xdr:sp macro="" textlink="">
          <xdr:nvSpPr>
            <xdr:cNvPr id="9274" name="TextBox1" hidden="1">
              <a:extLst>
                <a:ext uri="{63B3BB69-23CF-44E3-9099-C40C66FF867C}">
                  <a14:compatExt spid="_x0000_s9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66675</xdr:colOff>
      <xdr:row>5</xdr:row>
      <xdr:rowOff>38099</xdr:rowOff>
    </xdr:from>
    <xdr:to>
      <xdr:col>13</xdr:col>
      <xdr:colOff>57150</xdr:colOff>
      <xdr:row>7</xdr:row>
      <xdr:rowOff>57150</xdr:rowOff>
    </xdr:to>
    <xdr:grpSp>
      <xdr:nvGrpSpPr>
        <xdr:cNvPr id="9247" name="グループ化 9246"/>
        <xdr:cNvGrpSpPr/>
      </xdr:nvGrpSpPr>
      <xdr:grpSpPr>
        <a:xfrm>
          <a:off x="266700" y="733424"/>
          <a:ext cx="2390775" cy="285751"/>
          <a:chOff x="266700" y="733424"/>
          <a:chExt cx="2390775" cy="285751"/>
        </a:xfrm>
      </xdr:grpSpPr>
      <xdr:sp macro="" textlink="">
        <xdr:nvSpPr>
          <xdr:cNvPr id="6" name="テキスト ボックス 5"/>
          <xdr:cNvSpPr txBox="1"/>
        </xdr:nvSpPr>
        <xdr:spPr>
          <a:xfrm>
            <a:off x="266700" y="742950"/>
            <a:ext cx="1924050" cy="266701"/>
          </a:xfrm>
          <a:prstGeom prst="rect">
            <a:avLst/>
          </a:prstGeom>
          <a:ln>
            <a:solidFill>
              <a:schemeClr val="tx1"/>
            </a:solidFill>
          </a:ln>
        </xdr:spPr>
        <xdr:style>
          <a:lnRef idx="2">
            <a:schemeClr val="dk1"/>
          </a:lnRef>
          <a:fillRef idx="100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kumimoji="1" lang="en-US" altLang="ja-JP" sz="16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75" name="CommandButton2" hidden="1">
                <a:extLst>
                  <a:ext uri="{63B3BB69-23CF-44E3-9099-C40C66FF867C}">
                    <a14:compatExt spid="_x0000_s9275"/>
                  </a:ext>
                </a:extLst>
              </xdr:cNvPr>
              <xdr:cNvSpPr/>
            </xdr:nvSpPr>
            <xdr:spPr bwMode="auto">
              <a:xfrm>
                <a:off x="2209801" y="733424"/>
                <a:ext cx="447674" cy="2857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15</xdr:col>
      <xdr:colOff>133350</xdr:colOff>
      <xdr:row>19</xdr:row>
      <xdr:rowOff>0</xdr:rowOff>
    </xdr:from>
    <xdr:to>
      <xdr:col>18</xdr:col>
      <xdr:colOff>171450</xdr:colOff>
      <xdr:row>22</xdr:row>
      <xdr:rowOff>76200</xdr:rowOff>
    </xdr:to>
    <xdr:cxnSp macro="">
      <xdr:nvCxnSpPr>
        <xdr:cNvPr id="19" name="直線矢印コネクタ 18"/>
        <xdr:cNvCxnSpPr/>
      </xdr:nvCxnSpPr>
      <xdr:spPr bwMode="auto">
        <a:xfrm flipH="1">
          <a:off x="3133725" y="2562225"/>
          <a:ext cx="638175" cy="476250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66675</xdr:colOff>
      <xdr:row>16</xdr:row>
      <xdr:rowOff>133349</xdr:rowOff>
    </xdr:from>
    <xdr:ext cx="485775" cy="285751"/>
    <xdr:sp macro="" textlink="">
      <xdr:nvSpPr>
        <xdr:cNvPr id="15" name="正方形/長方形 14"/>
        <xdr:cNvSpPr/>
      </xdr:nvSpPr>
      <xdr:spPr>
        <a:xfrm>
          <a:off x="3667125" y="2295524"/>
          <a:ext cx="485775" cy="285751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④</a:t>
          </a:r>
        </a:p>
      </xdr:txBody>
    </xdr:sp>
    <xdr:clientData/>
  </xdr:oneCellAnchor>
  <xdr:oneCellAnchor>
    <xdr:from>
      <xdr:col>39</xdr:col>
      <xdr:colOff>38100</xdr:colOff>
      <xdr:row>5</xdr:row>
      <xdr:rowOff>114300</xdr:rowOff>
    </xdr:from>
    <xdr:ext cx="371475" cy="295276"/>
    <xdr:sp macro="" textlink="">
      <xdr:nvSpPr>
        <xdr:cNvPr id="74" name="正方形/長方形 73"/>
        <xdr:cNvSpPr/>
      </xdr:nvSpPr>
      <xdr:spPr>
        <a:xfrm>
          <a:off x="7839075" y="809625"/>
          <a:ext cx="3714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①</a:t>
          </a:r>
        </a:p>
      </xdr:txBody>
    </xdr:sp>
    <xdr:clientData/>
  </xdr:oneCellAnchor>
  <xdr:oneCellAnchor>
    <xdr:from>
      <xdr:col>46</xdr:col>
      <xdr:colOff>38100</xdr:colOff>
      <xdr:row>9</xdr:row>
      <xdr:rowOff>76200</xdr:rowOff>
    </xdr:from>
    <xdr:ext cx="485775" cy="295276"/>
    <xdr:sp macro="" textlink="">
      <xdr:nvSpPr>
        <xdr:cNvPr id="75" name="正方形/長方形 74"/>
        <xdr:cNvSpPr/>
      </xdr:nvSpPr>
      <xdr:spPr>
        <a:xfrm>
          <a:off x="9239250" y="1304925"/>
          <a:ext cx="485775" cy="295276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②</a:t>
          </a:r>
        </a:p>
      </xdr:txBody>
    </xdr:sp>
    <xdr:clientData/>
  </xdr:oneCellAnchor>
  <xdr:twoCellAnchor>
    <xdr:from>
      <xdr:col>47</xdr:col>
      <xdr:colOff>76200</xdr:colOff>
      <xdr:row>7</xdr:row>
      <xdr:rowOff>95250</xdr:rowOff>
    </xdr:from>
    <xdr:to>
      <xdr:col>47</xdr:col>
      <xdr:colOff>104775</xdr:colOff>
      <xdr:row>9</xdr:row>
      <xdr:rowOff>104775</xdr:rowOff>
    </xdr:to>
    <xdr:cxnSp macro="">
      <xdr:nvCxnSpPr>
        <xdr:cNvPr id="76" name="直線矢印コネクタ 75"/>
        <xdr:cNvCxnSpPr/>
      </xdr:nvCxnSpPr>
      <xdr:spPr bwMode="auto">
        <a:xfrm flipV="1">
          <a:off x="9477375" y="1057275"/>
          <a:ext cx="28575" cy="276225"/>
        </a:xfrm>
        <a:prstGeom prst="straightConnector1">
          <a:avLst/>
        </a:prstGeom>
        <a:ln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190500</xdr:colOff>
      <xdr:row>39</xdr:row>
      <xdr:rowOff>19049</xdr:rowOff>
    </xdr:from>
    <xdr:to>
      <xdr:col>28</xdr:col>
      <xdr:colOff>180975</xdr:colOff>
      <xdr:row>55</xdr:row>
      <xdr:rowOff>104774</xdr:rowOff>
    </xdr:to>
    <xdr:pic>
      <xdr:nvPicPr>
        <xdr:cNvPr id="34" name="図 3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0775" y="5248274"/>
          <a:ext cx="3390900" cy="2219325"/>
        </a:xfrm>
        <a:prstGeom prst="rect">
          <a:avLst/>
        </a:prstGeom>
      </xdr:spPr>
    </xdr:pic>
    <xdr:clientData/>
  </xdr:twoCellAnchor>
  <xdr:twoCellAnchor>
    <xdr:from>
      <xdr:col>37</xdr:col>
      <xdr:colOff>9526</xdr:colOff>
      <xdr:row>25</xdr:row>
      <xdr:rowOff>85724</xdr:rowOff>
    </xdr:from>
    <xdr:to>
      <xdr:col>49</xdr:col>
      <xdr:colOff>161925</xdr:colOff>
      <xdr:row>31</xdr:row>
      <xdr:rowOff>9523</xdr:rowOff>
    </xdr:to>
    <xdr:grpSp>
      <xdr:nvGrpSpPr>
        <xdr:cNvPr id="39" name="グループ化 38"/>
        <xdr:cNvGrpSpPr/>
      </xdr:nvGrpSpPr>
      <xdr:grpSpPr>
        <a:xfrm>
          <a:off x="7410451" y="3448049"/>
          <a:ext cx="2552699" cy="723899"/>
          <a:chOff x="7410451" y="3448049"/>
          <a:chExt cx="2552699" cy="723899"/>
        </a:xfrm>
      </xdr:grpSpPr>
      <xdr:pic>
        <xdr:nvPicPr>
          <xdr:cNvPr id="9225" name="図 9224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10451" y="3448049"/>
            <a:ext cx="723899" cy="723899"/>
          </a:xfrm>
          <a:prstGeom prst="rect">
            <a:avLst/>
          </a:prstGeom>
        </xdr:spPr>
      </xdr:pic>
      <xdr:sp macro="" textlink="">
        <xdr:nvSpPr>
          <xdr:cNvPr id="35" name="テキスト ボックス 34"/>
          <xdr:cNvSpPr txBox="1"/>
        </xdr:nvSpPr>
        <xdr:spPr>
          <a:xfrm>
            <a:off x="8239125" y="3552825"/>
            <a:ext cx="1724025" cy="333375"/>
          </a:xfrm>
          <a:prstGeom prst="rect">
            <a:avLst/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600"/>
              <a:t>user:</a:t>
            </a:r>
            <a:r>
              <a:rPr kumimoji="1" lang="ja-JP" altLang="en-US" sz="1600"/>
              <a:t>ポプ子</a:t>
            </a:r>
            <a:endParaRPr kumimoji="1" lang="en-US" altLang="ja-JP" sz="1600"/>
          </a:p>
          <a:p>
            <a:endParaRPr kumimoji="1" lang="en-US" altLang="ja-JP" sz="1600"/>
          </a:p>
        </xdr:txBody>
      </xdr:sp>
    </xdr:grpSp>
    <xdr:clientData/>
  </xdr:twoCellAnchor>
  <xdr:twoCellAnchor>
    <xdr:from>
      <xdr:col>11</xdr:col>
      <xdr:colOff>57150</xdr:colOff>
      <xdr:row>32</xdr:row>
      <xdr:rowOff>19050</xdr:rowOff>
    </xdr:from>
    <xdr:to>
      <xdr:col>16</xdr:col>
      <xdr:colOff>47625</xdr:colOff>
      <xdr:row>34</xdr:row>
      <xdr:rowOff>38100</xdr:rowOff>
    </xdr:to>
    <xdr:sp macro="" textlink="">
      <xdr:nvSpPr>
        <xdr:cNvPr id="36" name="テキスト ボックス 35"/>
        <xdr:cNvSpPr txBox="1"/>
      </xdr:nvSpPr>
      <xdr:spPr>
        <a:xfrm>
          <a:off x="2257425" y="4314825"/>
          <a:ext cx="990600" cy="2857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50">
              <a:solidFill>
                <a:schemeClr val="bg1"/>
              </a:solidFill>
            </a:rPr>
            <a:t>ポプテピピック</a:t>
          </a:r>
        </a:p>
      </xdr:txBody>
    </xdr:sp>
    <xdr:clientData/>
  </xdr:twoCellAnchor>
  <xdr:twoCellAnchor>
    <xdr:from>
      <xdr:col>5</xdr:col>
      <xdr:colOff>180975</xdr:colOff>
      <xdr:row>32</xdr:row>
      <xdr:rowOff>28575</xdr:rowOff>
    </xdr:from>
    <xdr:to>
      <xdr:col>10</xdr:col>
      <xdr:colOff>171450</xdr:colOff>
      <xdr:row>34</xdr:row>
      <xdr:rowOff>47625</xdr:rowOff>
    </xdr:to>
    <xdr:sp macro="" textlink="">
      <xdr:nvSpPr>
        <xdr:cNvPr id="110" name="テキスト ボックス 109"/>
        <xdr:cNvSpPr txBox="1"/>
      </xdr:nvSpPr>
      <xdr:spPr>
        <a:xfrm>
          <a:off x="1181100" y="4324350"/>
          <a:ext cx="990600" cy="2857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50">
              <a:solidFill>
                <a:schemeClr val="bg1"/>
              </a:solidFill>
            </a:rPr>
            <a:t>アニメ</a:t>
          </a:r>
        </a:p>
      </xdr:txBody>
    </xdr:sp>
    <xdr:clientData/>
  </xdr:twoCellAnchor>
  <xdr:twoCellAnchor>
    <xdr:from>
      <xdr:col>16</xdr:col>
      <xdr:colOff>104775</xdr:colOff>
      <xdr:row>32</xdr:row>
      <xdr:rowOff>19050</xdr:rowOff>
    </xdr:from>
    <xdr:to>
      <xdr:col>21</xdr:col>
      <xdr:colOff>95250</xdr:colOff>
      <xdr:row>34</xdr:row>
      <xdr:rowOff>38100</xdr:rowOff>
    </xdr:to>
    <xdr:sp macro="" textlink="">
      <xdr:nvSpPr>
        <xdr:cNvPr id="111" name="テキスト ボックス 110"/>
        <xdr:cNvSpPr txBox="1"/>
      </xdr:nvSpPr>
      <xdr:spPr>
        <a:xfrm>
          <a:off x="3305175" y="4314825"/>
          <a:ext cx="990600" cy="2857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50">
              <a:solidFill>
                <a:schemeClr val="bg1"/>
              </a:solidFill>
            </a:rPr>
            <a:t>クソアニメ</a:t>
          </a:r>
        </a:p>
      </xdr:txBody>
    </xdr:sp>
    <xdr:clientData/>
  </xdr:twoCellAnchor>
  <xdr:twoCellAnchor>
    <xdr:from>
      <xdr:col>10</xdr:col>
      <xdr:colOff>47625</xdr:colOff>
      <xdr:row>69</xdr:row>
      <xdr:rowOff>19050</xdr:rowOff>
    </xdr:from>
    <xdr:to>
      <xdr:col>30</xdr:col>
      <xdr:colOff>0</xdr:colOff>
      <xdr:row>69</xdr:row>
      <xdr:rowOff>19050</xdr:rowOff>
    </xdr:to>
    <xdr:cxnSp macro="">
      <xdr:nvCxnSpPr>
        <xdr:cNvPr id="41" name="直線コネクタ 40"/>
        <xdr:cNvCxnSpPr/>
      </xdr:nvCxnSpPr>
      <xdr:spPr bwMode="auto">
        <a:xfrm>
          <a:off x="2047875" y="9248775"/>
          <a:ext cx="395287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9</xdr:col>
      <xdr:colOff>196672</xdr:colOff>
      <xdr:row>66</xdr:row>
      <xdr:rowOff>66674</xdr:rowOff>
    </xdr:from>
    <xdr:ext cx="1079678" cy="304801"/>
    <xdr:sp macro="" textlink="">
      <xdr:nvSpPr>
        <xdr:cNvPr id="44" name="正方形/長方形 43"/>
        <xdr:cNvSpPr/>
      </xdr:nvSpPr>
      <xdr:spPr>
        <a:xfrm>
          <a:off x="1996897" y="8896349"/>
          <a:ext cx="1079678" cy="3048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altLang="ja-JP" sz="16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comment</a:t>
          </a:r>
          <a:endParaRPr lang="ja-JP" altLang="en-US" sz="16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0</xdr:colOff>
      <xdr:row>25</xdr:row>
      <xdr:rowOff>9525</xdr:rowOff>
    </xdr:from>
    <xdr:to>
      <xdr:col>24</xdr:col>
      <xdr:colOff>152400</xdr:colOff>
      <xdr:row>25</xdr:row>
      <xdr:rowOff>9525</xdr:rowOff>
    </xdr:to>
    <xdr:cxnSp macro="">
      <xdr:nvCxnSpPr>
        <xdr:cNvPr id="119" name="直線コネクタ 118"/>
        <xdr:cNvCxnSpPr/>
      </xdr:nvCxnSpPr>
      <xdr:spPr bwMode="auto">
        <a:xfrm>
          <a:off x="1000125" y="3371850"/>
          <a:ext cx="395287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38100</xdr:colOff>
      <xdr:row>76</xdr:row>
      <xdr:rowOff>47625</xdr:rowOff>
    </xdr:from>
    <xdr:to>
      <xdr:col>29</xdr:col>
      <xdr:colOff>171450</xdr:colOff>
      <xdr:row>76</xdr:row>
      <xdr:rowOff>47626</xdr:rowOff>
    </xdr:to>
    <xdr:cxnSp macro="">
      <xdr:nvCxnSpPr>
        <xdr:cNvPr id="120" name="直線コネクタ 119"/>
        <xdr:cNvCxnSpPr/>
      </xdr:nvCxnSpPr>
      <xdr:spPr bwMode="auto">
        <a:xfrm flipV="1">
          <a:off x="2038350" y="10210800"/>
          <a:ext cx="3933825" cy="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38100</xdr:colOff>
      <xdr:row>82</xdr:row>
      <xdr:rowOff>28575</xdr:rowOff>
    </xdr:from>
    <xdr:to>
      <xdr:col>29</xdr:col>
      <xdr:colOff>190500</xdr:colOff>
      <xdr:row>82</xdr:row>
      <xdr:rowOff>28575</xdr:rowOff>
    </xdr:to>
    <xdr:cxnSp macro="">
      <xdr:nvCxnSpPr>
        <xdr:cNvPr id="127" name="直線コネクタ 126"/>
        <xdr:cNvCxnSpPr/>
      </xdr:nvCxnSpPr>
      <xdr:spPr bwMode="auto">
        <a:xfrm>
          <a:off x="2038350" y="10991850"/>
          <a:ext cx="395287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33</xdr:col>
      <xdr:colOff>28575</xdr:colOff>
      <xdr:row>11</xdr:row>
      <xdr:rowOff>38100</xdr:rowOff>
    </xdr:from>
    <xdr:ext cx="485775" cy="323851"/>
    <xdr:sp macro="" textlink="">
      <xdr:nvSpPr>
        <xdr:cNvPr id="54" name="正方形/長方形 53"/>
        <xdr:cNvSpPr/>
      </xdr:nvSpPr>
      <xdr:spPr>
        <a:xfrm>
          <a:off x="6629400" y="1533525"/>
          <a:ext cx="485775" cy="323851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⑤</a:t>
          </a:r>
        </a:p>
      </xdr:txBody>
    </xdr:sp>
    <xdr:clientData/>
  </xdr:oneCellAnchor>
  <xdr:oneCellAnchor>
    <xdr:from>
      <xdr:col>14</xdr:col>
      <xdr:colOff>38100</xdr:colOff>
      <xdr:row>6</xdr:row>
      <xdr:rowOff>66674</xdr:rowOff>
    </xdr:from>
    <xdr:ext cx="485775" cy="323851"/>
    <xdr:sp macro="" textlink="">
      <xdr:nvSpPr>
        <xdr:cNvPr id="14" name="正方形/長方形 13"/>
        <xdr:cNvSpPr/>
      </xdr:nvSpPr>
      <xdr:spPr>
        <a:xfrm>
          <a:off x="2838450" y="895349"/>
          <a:ext cx="485775" cy="323851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③</a:t>
          </a:r>
        </a:p>
      </xdr:txBody>
    </xdr:sp>
    <xdr:clientData/>
  </xdr:oneCellAnchor>
  <xdr:oneCellAnchor>
    <xdr:from>
      <xdr:col>41</xdr:col>
      <xdr:colOff>85725</xdr:colOff>
      <xdr:row>23</xdr:row>
      <xdr:rowOff>9525</xdr:rowOff>
    </xdr:from>
    <xdr:ext cx="485775" cy="323851"/>
    <xdr:sp macro="" textlink="">
      <xdr:nvSpPr>
        <xdr:cNvPr id="55" name="正方形/長方形 54"/>
        <xdr:cNvSpPr/>
      </xdr:nvSpPr>
      <xdr:spPr>
        <a:xfrm>
          <a:off x="8286750" y="3105150"/>
          <a:ext cx="485775" cy="323851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⑩</a:t>
          </a:r>
        </a:p>
      </xdr:txBody>
    </xdr:sp>
    <xdr:clientData/>
  </xdr:oneCellAnchor>
  <xdr:oneCellAnchor>
    <xdr:from>
      <xdr:col>33</xdr:col>
      <xdr:colOff>38100</xdr:colOff>
      <xdr:row>92</xdr:row>
      <xdr:rowOff>76200</xdr:rowOff>
    </xdr:from>
    <xdr:ext cx="485775" cy="428625"/>
    <xdr:sp macro="" textlink="">
      <xdr:nvSpPr>
        <xdr:cNvPr id="57" name="正方形/長方形 56"/>
        <xdr:cNvSpPr/>
      </xdr:nvSpPr>
      <xdr:spPr>
        <a:xfrm>
          <a:off x="6638925" y="12372975"/>
          <a:ext cx="485775" cy="428625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⑫</a:t>
          </a:r>
        </a:p>
      </xdr:txBody>
    </xdr:sp>
    <xdr:clientData/>
  </xdr:oneCellAnchor>
  <xdr:oneCellAnchor>
    <xdr:from>
      <xdr:col>2</xdr:col>
      <xdr:colOff>123826</xdr:colOff>
      <xdr:row>32</xdr:row>
      <xdr:rowOff>28575</xdr:rowOff>
    </xdr:from>
    <xdr:ext cx="419100" cy="257175"/>
    <xdr:sp macro="" textlink="">
      <xdr:nvSpPr>
        <xdr:cNvPr id="58" name="正方形/長方形 57"/>
        <xdr:cNvSpPr/>
      </xdr:nvSpPr>
      <xdr:spPr>
        <a:xfrm>
          <a:off x="523876" y="4324350"/>
          <a:ext cx="419100" cy="257175"/>
        </a:xfrm>
        <a:prstGeom prst="rect">
          <a:avLst/>
        </a:prstGeom>
        <a:noFill/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ja-JP" altLang="en-US" sz="14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ea"/>
              <a:ea typeface="+mn-ea"/>
            </a:rPr>
            <a:t>⑨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57150</xdr:colOff>
      <xdr:row>6</xdr:row>
      <xdr:rowOff>123825</xdr:rowOff>
    </xdr:from>
    <xdr:to>
      <xdr:col>47</xdr:col>
      <xdr:colOff>142875</xdr:colOff>
      <xdr:row>23</xdr:row>
      <xdr:rowOff>47625</xdr:rowOff>
    </xdr:to>
    <xdr:sp macro="" textlink="">
      <xdr:nvSpPr>
        <xdr:cNvPr id="2" name="四角形吹き出し 1"/>
        <xdr:cNvSpPr/>
      </xdr:nvSpPr>
      <xdr:spPr bwMode="auto">
        <a:xfrm>
          <a:off x="5457825" y="952500"/>
          <a:ext cx="4086225" cy="2190750"/>
        </a:xfrm>
        <a:prstGeom prst="wedgeRectCallou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今回の開発では記入不要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142875</xdr:colOff>
      <xdr:row>13</xdr:row>
      <xdr:rowOff>95250</xdr:rowOff>
    </xdr:from>
    <xdr:to>
      <xdr:col>62</xdr:col>
      <xdr:colOff>95250</xdr:colOff>
      <xdr:row>24</xdr:row>
      <xdr:rowOff>95250</xdr:rowOff>
    </xdr:to>
    <xdr:sp macro="" textlink="">
      <xdr:nvSpPr>
        <xdr:cNvPr id="2" name="四角形吹き出し 1"/>
        <xdr:cNvSpPr/>
      </xdr:nvSpPr>
      <xdr:spPr bwMode="auto">
        <a:xfrm>
          <a:off x="7543800" y="1828800"/>
          <a:ext cx="4953000" cy="1466850"/>
        </a:xfrm>
        <a:prstGeom prst="wedgeRectCallout">
          <a:avLst>
            <a:gd name="adj1" fmla="val -93545"/>
            <a:gd name="adj2" fmla="val -15422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画面のパーツと種類を記載</a:t>
          </a:r>
          <a:endParaRPr kumimoji="1" lang="en-US" altLang="ja-JP" sz="1100"/>
        </a:p>
        <a:p>
          <a:pPr algn="l"/>
          <a:r>
            <a:rPr kumimoji="1" lang="en-US" altLang="ja-JP" sz="1100"/>
            <a:t>E</a:t>
          </a:r>
          <a:r>
            <a:rPr kumimoji="1" lang="ja-JP" altLang="en-US" sz="1100"/>
            <a:t>ｘ：名称：登録ボタン</a:t>
          </a:r>
          <a:endParaRPr kumimoji="1" lang="en-US" altLang="ja-JP" sz="1100"/>
        </a:p>
        <a:p>
          <a:pPr algn="l"/>
          <a:r>
            <a:rPr kumimoji="1" lang="ja-JP" altLang="en-US" sz="1100"/>
            <a:t>　　　分類：ボタン</a:t>
          </a:r>
          <a:endParaRPr kumimoji="1" lang="en-US" altLang="ja-JP" sz="1100"/>
        </a:p>
        <a:p>
          <a:pPr algn="l"/>
          <a:r>
            <a:rPr kumimoji="1" lang="ja-JP" altLang="en-US" sz="1100"/>
            <a:t>　　　必須：〇（必須）、△（条件により）、ブランク（任意）</a:t>
          </a:r>
          <a:endParaRPr kumimoji="1" lang="en-US" altLang="ja-JP" sz="1100"/>
        </a:p>
        <a:p>
          <a:pPr algn="l"/>
          <a:r>
            <a:rPr kumimoji="1" lang="ja-JP" altLang="en-US" sz="1100"/>
            <a:t>　　　桁数：</a:t>
          </a:r>
          <a:r>
            <a:rPr kumimoji="1" lang="en-US" altLang="ja-JP" sz="1100"/>
            <a:t>-</a:t>
          </a:r>
          <a:r>
            <a:rPr kumimoji="1" lang="ja-JP" altLang="en-US" sz="1100"/>
            <a:t>（最大桁数、テキストフィールドなどは入力可能文字数の範囲を指定）</a:t>
          </a:r>
          <a:endParaRPr kumimoji="1" lang="en-US" altLang="ja-JP" sz="1100"/>
        </a:p>
        <a:p>
          <a:pPr algn="l"/>
          <a:r>
            <a:rPr kumimoji="1" lang="ja-JP" altLang="en-US" sz="1100"/>
            <a:t>　　　フォーマット：プログラミングで使う変数名</a:t>
          </a:r>
          <a:endParaRPr kumimoji="1" lang="en-US" altLang="ja-JP" sz="1100"/>
        </a:p>
        <a:p>
          <a:pPr algn="l"/>
          <a:r>
            <a:rPr kumimoji="1" lang="ja-JP" altLang="en-US" sz="1100"/>
            <a:t>　　　テーブル、フィールドは省略</a:t>
          </a:r>
          <a:endParaRPr kumimoji="1" lang="en-US" altLang="ja-JP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0</xdr:colOff>
      <xdr:row>47</xdr:row>
      <xdr:rowOff>123825</xdr:rowOff>
    </xdr:from>
    <xdr:to>
      <xdr:col>58</xdr:col>
      <xdr:colOff>95250</xdr:colOff>
      <xdr:row>57</xdr:row>
      <xdr:rowOff>47625</xdr:rowOff>
    </xdr:to>
    <xdr:sp macro="" textlink="">
      <xdr:nvSpPr>
        <xdr:cNvPr id="2" name="四角形吹き出し 1"/>
        <xdr:cNvSpPr/>
      </xdr:nvSpPr>
      <xdr:spPr bwMode="auto">
        <a:xfrm>
          <a:off x="9201150" y="6419850"/>
          <a:ext cx="2495550" cy="990600"/>
        </a:xfrm>
        <a:prstGeom prst="wedgeRectCallout">
          <a:avLst>
            <a:gd name="adj1" fmla="val -63344"/>
            <a:gd name="adj2" fmla="val -70879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画面項目の</a:t>
          </a:r>
          <a:r>
            <a:rPr kumimoji="1" lang="en-US" altLang="ja-JP" sz="1100"/>
            <a:t>No</a:t>
          </a:r>
          <a:r>
            <a:rPr kumimoji="1" lang="ja-JP" altLang="en-US" sz="1100"/>
            <a:t>を記載して動作を記入</a:t>
          </a:r>
          <a:endParaRPr kumimoji="1" lang="en-US" altLang="ja-JP" sz="1100"/>
        </a:p>
      </xdr:txBody>
    </xdr:sp>
    <xdr:clientData/>
  </xdr:twoCellAnchor>
  <xdr:twoCellAnchor editAs="oneCell">
    <xdr:from>
      <xdr:col>4</xdr:col>
      <xdr:colOff>28575</xdr:colOff>
      <xdr:row>82</xdr:row>
      <xdr:rowOff>66675</xdr:rowOff>
    </xdr:from>
    <xdr:to>
      <xdr:col>29</xdr:col>
      <xdr:colOff>114300</xdr:colOff>
      <xdr:row>123</xdr:row>
      <xdr:rowOff>123825</xdr:rowOff>
    </xdr:to>
    <xdr:pic>
      <xdr:nvPicPr>
        <xdr:cNvPr id="7212" name="図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8362950"/>
          <a:ext cx="5086350" cy="552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13</xdr:row>
      <xdr:rowOff>0</xdr:rowOff>
    </xdr:from>
    <xdr:to>
      <xdr:col>30</xdr:col>
      <xdr:colOff>85725</xdr:colOff>
      <xdr:row>29</xdr:row>
      <xdr:rowOff>57150</xdr:rowOff>
    </xdr:to>
    <xdr:sp macro="" textlink="">
      <xdr:nvSpPr>
        <xdr:cNvPr id="2" name="四角形吹き出し 1"/>
        <xdr:cNvSpPr/>
      </xdr:nvSpPr>
      <xdr:spPr bwMode="auto">
        <a:xfrm>
          <a:off x="2000250" y="1762125"/>
          <a:ext cx="4086225" cy="2190750"/>
        </a:xfrm>
        <a:prstGeom prst="wedgeRectCallou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の授業すすんだら記載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52"/>
  <sheetViews>
    <sheetView topLeftCell="A7" workbookViewId="0">
      <selection activeCell="AL47" sqref="AL47:AY48"/>
    </sheetView>
  </sheetViews>
  <sheetFormatPr defaultColWidth="2.625" defaultRowHeight="10.5"/>
  <cols>
    <col min="1" max="16384" width="2.625" style="44"/>
  </cols>
  <sheetData>
    <row r="1" spans="1:52" ht="10.5" customHeight="1">
      <c r="A1" s="41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3"/>
    </row>
    <row r="2" spans="1:52" ht="10.5" customHeight="1">
      <c r="A2" s="45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7"/>
    </row>
    <row r="3" spans="1:52" ht="10.5" customHeight="1">
      <c r="A3" s="45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7"/>
    </row>
    <row r="4" spans="1:52" ht="10.5" customHeight="1">
      <c r="A4" s="45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7"/>
    </row>
    <row r="5" spans="1:52" ht="10.5" customHeight="1">
      <c r="A5" s="45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7"/>
    </row>
    <row r="6" spans="1:52" ht="10.5" customHeight="1">
      <c r="A6" s="45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7"/>
    </row>
    <row r="7" spans="1:52" ht="10.5" customHeight="1">
      <c r="A7" s="45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7"/>
    </row>
    <row r="8" spans="1:52" ht="10.5" customHeight="1">
      <c r="A8" s="45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7"/>
    </row>
    <row r="9" spans="1:52" ht="10.5" customHeight="1">
      <c r="A9" s="48"/>
      <c r="B9" s="49"/>
      <c r="C9" s="49"/>
      <c r="D9" s="49"/>
      <c r="E9" s="49"/>
      <c r="F9" s="49"/>
      <c r="G9" s="49"/>
      <c r="H9" s="49"/>
      <c r="I9" s="59" t="s">
        <v>58</v>
      </c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49"/>
      <c r="AT9" s="49"/>
      <c r="AU9" s="49"/>
      <c r="AV9" s="49"/>
      <c r="AW9" s="49"/>
      <c r="AX9" s="49"/>
      <c r="AY9" s="49"/>
      <c r="AZ9" s="50"/>
    </row>
    <row r="10" spans="1:52" ht="10.5" customHeight="1">
      <c r="A10" s="48"/>
      <c r="B10" s="49"/>
      <c r="C10" s="49"/>
      <c r="D10" s="49"/>
      <c r="E10" s="49"/>
      <c r="F10" s="49"/>
      <c r="G10" s="49"/>
      <c r="H10" s="4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49"/>
      <c r="AT10" s="49"/>
      <c r="AU10" s="49"/>
      <c r="AV10" s="49"/>
      <c r="AW10" s="49"/>
      <c r="AX10" s="49"/>
      <c r="AY10" s="49"/>
      <c r="AZ10" s="50"/>
    </row>
    <row r="11" spans="1:52" ht="10.5" customHeight="1">
      <c r="A11" s="48"/>
      <c r="B11" s="49"/>
      <c r="C11" s="49"/>
      <c r="D11" s="49"/>
      <c r="E11" s="49"/>
      <c r="F11" s="49"/>
      <c r="G11" s="49"/>
      <c r="H11" s="4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49"/>
      <c r="AT11" s="49"/>
      <c r="AU11" s="49"/>
      <c r="AV11" s="49"/>
      <c r="AW11" s="49"/>
      <c r="AX11" s="49"/>
      <c r="AY11" s="49"/>
      <c r="AZ11" s="50"/>
    </row>
    <row r="12" spans="1:52" ht="10.5" customHeight="1">
      <c r="A12" s="48"/>
      <c r="B12" s="49"/>
      <c r="C12" s="49"/>
      <c r="D12" s="49"/>
      <c r="E12" s="49"/>
      <c r="F12" s="49"/>
      <c r="G12" s="49"/>
      <c r="H12" s="4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49"/>
      <c r="AT12" s="49"/>
      <c r="AU12" s="49"/>
      <c r="AV12" s="49"/>
      <c r="AW12" s="49"/>
      <c r="AX12" s="49"/>
      <c r="AY12" s="49"/>
      <c r="AZ12" s="50"/>
    </row>
    <row r="13" spans="1:52" ht="10.5" customHeight="1">
      <c r="A13" s="48"/>
      <c r="B13" s="49"/>
      <c r="C13" s="49"/>
      <c r="D13" s="49"/>
      <c r="E13" s="49"/>
      <c r="F13" s="49"/>
      <c r="G13" s="49"/>
      <c r="H13" s="4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49"/>
      <c r="AT13" s="49"/>
      <c r="AU13" s="49"/>
      <c r="AV13" s="49"/>
      <c r="AW13" s="49"/>
      <c r="AX13" s="49"/>
      <c r="AY13" s="49"/>
      <c r="AZ13" s="50"/>
    </row>
    <row r="14" spans="1:52" ht="10.5" customHeight="1">
      <c r="A14" s="48"/>
      <c r="B14" s="49"/>
      <c r="C14" s="49"/>
      <c r="D14" s="49"/>
      <c r="E14" s="49"/>
      <c r="F14" s="49"/>
      <c r="G14" s="49"/>
      <c r="H14" s="4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49"/>
      <c r="AT14" s="49"/>
      <c r="AU14" s="49"/>
      <c r="AV14" s="49"/>
      <c r="AW14" s="49"/>
      <c r="AX14" s="49"/>
      <c r="AY14" s="49"/>
      <c r="AZ14" s="50"/>
    </row>
    <row r="15" spans="1:52" ht="10.5" customHeight="1">
      <c r="A15" s="48"/>
      <c r="B15" s="49"/>
      <c r="C15" s="49"/>
      <c r="D15" s="49"/>
      <c r="E15" s="49"/>
      <c r="F15" s="49"/>
      <c r="G15" s="49"/>
      <c r="H15" s="4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49"/>
      <c r="AT15" s="49"/>
      <c r="AU15" s="49"/>
      <c r="AV15" s="49"/>
      <c r="AW15" s="49"/>
      <c r="AX15" s="49"/>
      <c r="AY15" s="49"/>
      <c r="AZ15" s="50"/>
    </row>
    <row r="16" spans="1:52" ht="10.5" customHeight="1">
      <c r="A16" s="48"/>
      <c r="B16" s="49"/>
      <c r="C16" s="49"/>
      <c r="D16" s="49"/>
      <c r="E16" s="49"/>
      <c r="F16" s="49"/>
      <c r="G16" s="49"/>
      <c r="H16" s="4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49"/>
      <c r="AT16" s="49"/>
      <c r="AU16" s="49"/>
      <c r="AV16" s="49"/>
      <c r="AW16" s="49"/>
      <c r="AX16" s="49"/>
      <c r="AY16" s="49"/>
      <c r="AZ16" s="50"/>
    </row>
    <row r="17" spans="1:52" ht="10.5" customHeight="1">
      <c r="A17" s="48"/>
      <c r="B17" s="49"/>
      <c r="C17" s="49"/>
      <c r="D17" s="49"/>
      <c r="E17" s="49"/>
      <c r="F17" s="49"/>
      <c r="G17" s="49"/>
      <c r="H17" s="4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49"/>
      <c r="AT17" s="49"/>
      <c r="AU17" s="49"/>
      <c r="AV17" s="49"/>
      <c r="AW17" s="49"/>
      <c r="AX17" s="49"/>
      <c r="AY17" s="49"/>
      <c r="AZ17" s="50"/>
    </row>
    <row r="18" spans="1:52" ht="10.5" customHeight="1">
      <c r="A18" s="48"/>
      <c r="B18" s="49"/>
      <c r="C18" s="49"/>
      <c r="D18" s="49"/>
      <c r="E18" s="49"/>
      <c r="F18" s="49"/>
      <c r="G18" s="49"/>
      <c r="H18" s="4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49"/>
      <c r="AT18" s="49"/>
      <c r="AU18" s="49"/>
      <c r="AV18" s="49"/>
      <c r="AW18" s="49"/>
      <c r="AX18" s="49"/>
      <c r="AY18" s="49"/>
      <c r="AZ18" s="50"/>
    </row>
    <row r="19" spans="1:52" ht="10.5" customHeight="1">
      <c r="A19" s="48"/>
      <c r="B19" s="49"/>
      <c r="C19" s="49"/>
      <c r="D19" s="49"/>
      <c r="E19" s="49"/>
      <c r="F19" s="49"/>
      <c r="G19" s="49"/>
      <c r="H19" s="4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49"/>
      <c r="AT19" s="49"/>
      <c r="AU19" s="49"/>
      <c r="AV19" s="49"/>
      <c r="AW19" s="49"/>
      <c r="AX19" s="49"/>
      <c r="AY19" s="49"/>
      <c r="AZ19" s="50"/>
    </row>
    <row r="20" spans="1:52" ht="10.5" customHeight="1">
      <c r="A20" s="48"/>
      <c r="B20" s="49"/>
      <c r="C20" s="49"/>
      <c r="D20" s="49"/>
      <c r="E20" s="49"/>
      <c r="F20" s="49"/>
      <c r="G20" s="49"/>
      <c r="H20" s="4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49"/>
      <c r="AT20" s="49"/>
      <c r="AU20" s="49"/>
      <c r="AV20" s="49"/>
      <c r="AW20" s="49"/>
      <c r="AX20" s="49"/>
      <c r="AY20" s="49"/>
      <c r="AZ20" s="50"/>
    </row>
    <row r="21" spans="1:52" ht="10.5" customHeight="1">
      <c r="A21" s="45"/>
      <c r="B21" s="46"/>
      <c r="C21" s="46"/>
      <c r="D21" s="46"/>
      <c r="E21" s="46"/>
      <c r="F21" s="46"/>
      <c r="G21" s="46"/>
      <c r="H21" s="46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46"/>
      <c r="AT21" s="46"/>
      <c r="AU21" s="46"/>
      <c r="AV21" s="46"/>
      <c r="AW21" s="46"/>
      <c r="AX21" s="46"/>
      <c r="AY21" s="46"/>
      <c r="AZ21" s="47"/>
    </row>
    <row r="22" spans="1:52" ht="10.5" customHeight="1">
      <c r="A22" s="45"/>
      <c r="B22" s="46"/>
      <c r="C22" s="46"/>
      <c r="D22" s="46"/>
      <c r="E22" s="46"/>
      <c r="F22" s="46"/>
      <c r="G22" s="46"/>
      <c r="H22" s="46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46"/>
      <c r="AT22" s="46"/>
      <c r="AU22" s="46"/>
      <c r="AV22" s="46"/>
      <c r="AW22" s="46"/>
      <c r="AX22" s="46"/>
      <c r="AY22" s="46"/>
      <c r="AZ22" s="47"/>
    </row>
    <row r="23" spans="1:52" ht="10.5" customHeight="1">
      <c r="A23" s="45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7"/>
    </row>
    <row r="24" spans="1:52" ht="10.5" customHeight="1">
      <c r="A24" s="45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7"/>
    </row>
    <row r="25" spans="1:52" ht="10.5" customHeight="1">
      <c r="A25" s="45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7"/>
    </row>
    <row r="26" spans="1:52" ht="10.5" customHeight="1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7"/>
    </row>
    <row r="27" spans="1:52" ht="10.5" customHeight="1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7"/>
    </row>
    <row r="28" spans="1:52" ht="10.5" customHeight="1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7"/>
    </row>
    <row r="29" spans="1:52">
      <c r="A29" s="45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7"/>
    </row>
    <row r="30" spans="1:52">
      <c r="A30" s="45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7"/>
    </row>
    <row r="31" spans="1:52">
      <c r="A31" s="45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7"/>
    </row>
    <row r="32" spans="1:52">
      <c r="A32" s="45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7"/>
    </row>
    <row r="33" spans="1:52">
      <c r="A33" s="45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7"/>
    </row>
    <row r="34" spans="1:52">
      <c r="A34" s="45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51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7"/>
    </row>
    <row r="35" spans="1:52">
      <c r="A35" s="45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51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7"/>
    </row>
    <row r="36" spans="1:52">
      <c r="A36" s="45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51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7"/>
    </row>
    <row r="37" spans="1:52">
      <c r="A37" s="45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51"/>
      <c r="AD37" s="46"/>
      <c r="AE37" s="46"/>
      <c r="AF37" s="60" t="s">
        <v>38</v>
      </c>
      <c r="AG37" s="60"/>
      <c r="AH37" s="60"/>
      <c r="AI37" s="60"/>
      <c r="AJ37" s="60"/>
      <c r="AK37" s="60"/>
      <c r="AL37" s="61" t="s">
        <v>41</v>
      </c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47"/>
    </row>
    <row r="38" spans="1:52">
      <c r="A38" s="45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51"/>
      <c r="AD38" s="46"/>
      <c r="AE38" s="46"/>
      <c r="AF38" s="60"/>
      <c r="AG38" s="60"/>
      <c r="AH38" s="60"/>
      <c r="AI38" s="60"/>
      <c r="AJ38" s="60"/>
      <c r="AK38" s="60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47"/>
    </row>
    <row r="39" spans="1:52">
      <c r="A39" s="45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60" t="s">
        <v>29</v>
      </c>
      <c r="AG39" s="60"/>
      <c r="AH39" s="60"/>
      <c r="AI39" s="60"/>
      <c r="AJ39" s="60"/>
      <c r="AK39" s="60"/>
      <c r="AL39" s="61" t="s">
        <v>42</v>
      </c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47"/>
    </row>
    <row r="40" spans="1:52">
      <c r="A40" s="45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60"/>
      <c r="AG40" s="60"/>
      <c r="AH40" s="60"/>
      <c r="AI40" s="60"/>
      <c r="AJ40" s="60"/>
      <c r="AK40" s="60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47"/>
    </row>
    <row r="41" spans="1:52" ht="10.5" customHeight="1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60" t="s">
        <v>0</v>
      </c>
      <c r="AG41" s="60"/>
      <c r="AH41" s="60"/>
      <c r="AI41" s="60"/>
      <c r="AJ41" s="60"/>
      <c r="AK41" s="60"/>
      <c r="AL41" s="61" t="s">
        <v>43</v>
      </c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47"/>
    </row>
    <row r="42" spans="1:52" ht="10.5" customHeight="1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60"/>
      <c r="AG42" s="60"/>
      <c r="AH42" s="60"/>
      <c r="AI42" s="60"/>
      <c r="AJ42" s="60"/>
      <c r="AK42" s="60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47"/>
    </row>
    <row r="43" spans="1:52" ht="10.5" customHeight="1">
      <c r="A43" s="45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69" t="s">
        <v>30</v>
      </c>
      <c r="AG43" s="70"/>
      <c r="AH43" s="70"/>
      <c r="AI43" s="70"/>
      <c r="AJ43" s="70"/>
      <c r="AK43" s="71"/>
      <c r="AL43" s="63" t="s">
        <v>44</v>
      </c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5"/>
      <c r="AZ43" s="47"/>
    </row>
    <row r="44" spans="1:52" ht="10.5" customHeight="1">
      <c r="A44" s="45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72"/>
      <c r="AG44" s="73"/>
      <c r="AH44" s="73"/>
      <c r="AI44" s="73"/>
      <c r="AJ44" s="73"/>
      <c r="AK44" s="74"/>
      <c r="AL44" s="66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8"/>
      <c r="AZ44" s="47"/>
    </row>
    <row r="45" spans="1:52" ht="10.5" customHeight="1">
      <c r="A45" s="45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69" t="s">
        <v>31</v>
      </c>
      <c r="AG45" s="70"/>
      <c r="AH45" s="70"/>
      <c r="AI45" s="70"/>
      <c r="AJ45" s="70"/>
      <c r="AK45" s="71"/>
      <c r="AL45" s="63" t="s">
        <v>45</v>
      </c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5"/>
      <c r="AZ45" s="47"/>
    </row>
    <row r="46" spans="1:52" ht="10.5" customHeight="1">
      <c r="A46" s="45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72"/>
      <c r="AG46" s="73"/>
      <c r="AH46" s="73"/>
      <c r="AI46" s="73"/>
      <c r="AJ46" s="73"/>
      <c r="AK46" s="74"/>
      <c r="AL46" s="66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8"/>
      <c r="AZ46" s="47"/>
    </row>
    <row r="47" spans="1:52">
      <c r="A47" s="45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60" t="s">
        <v>28</v>
      </c>
      <c r="AG47" s="60"/>
      <c r="AH47" s="60"/>
      <c r="AI47" s="60"/>
      <c r="AJ47" s="60"/>
      <c r="AK47" s="60"/>
      <c r="AL47" s="62">
        <v>43696</v>
      </c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47"/>
    </row>
    <row r="48" spans="1:52">
      <c r="A48" s="45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60"/>
      <c r="AG48" s="60"/>
      <c r="AH48" s="60"/>
      <c r="AI48" s="60"/>
      <c r="AJ48" s="60"/>
      <c r="AK48" s="60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47"/>
    </row>
    <row r="49" spans="1:52">
      <c r="A49" s="45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60" t="s">
        <v>27</v>
      </c>
      <c r="AG49" s="60"/>
      <c r="AH49" s="60"/>
      <c r="AI49" s="60"/>
      <c r="AJ49" s="60"/>
      <c r="AK49" s="60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47"/>
    </row>
    <row r="50" spans="1:52">
      <c r="A50" s="45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60"/>
      <c r="AG50" s="60"/>
      <c r="AH50" s="60"/>
      <c r="AI50" s="60"/>
      <c r="AJ50" s="60"/>
      <c r="AK50" s="60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47"/>
    </row>
    <row r="51" spans="1:52">
      <c r="A51" s="45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7"/>
    </row>
    <row r="52" spans="1:52">
      <c r="A52" s="52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4"/>
    </row>
  </sheetData>
  <mergeCells count="15">
    <mergeCell ref="I9:AR22"/>
    <mergeCell ref="AF41:AK42"/>
    <mergeCell ref="AF37:AK38"/>
    <mergeCell ref="AL37:AY38"/>
    <mergeCell ref="AF49:AK50"/>
    <mergeCell ref="AL47:AY48"/>
    <mergeCell ref="AL49:AY50"/>
    <mergeCell ref="AF47:AK48"/>
    <mergeCell ref="AL45:AY46"/>
    <mergeCell ref="AF45:AK46"/>
    <mergeCell ref="AL43:AY44"/>
    <mergeCell ref="AF43:AK44"/>
    <mergeCell ref="AF39:AK40"/>
    <mergeCell ref="AL39:AY40"/>
    <mergeCell ref="AL41:AY42"/>
  </mergeCells>
  <phoneticPr fontId="2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&amp;R&amp;"明朝,標準"&amp;8Copyright © 2007 sample Corporation. All Rights Reserved.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Z94"/>
  <sheetViews>
    <sheetView zoomScaleNormal="100" workbookViewId="0">
      <selection activeCell="AK24" sqref="AK24"/>
    </sheetView>
  </sheetViews>
  <sheetFormatPr defaultColWidth="2.625" defaultRowHeight="10.5"/>
  <cols>
    <col min="1" max="16384" width="2.625" style="1"/>
  </cols>
  <sheetData>
    <row r="1" spans="1:52" ht="11.25" thickTop="1">
      <c r="A1" s="77" t="s">
        <v>5</v>
      </c>
      <c r="B1" s="78"/>
      <c r="C1" s="78"/>
      <c r="D1" s="78"/>
      <c r="E1" s="78"/>
      <c r="F1" s="78"/>
      <c r="G1" s="78"/>
      <c r="H1" s="78"/>
      <c r="I1" s="78"/>
      <c r="J1" s="79"/>
      <c r="K1" s="75" t="s">
        <v>3</v>
      </c>
      <c r="L1" s="75"/>
      <c r="M1" s="75"/>
      <c r="N1" s="75"/>
      <c r="O1" s="83" t="str">
        <f>IF(ISBLANK(表紙!AL43),"",(表紙!AL43))</f>
        <v>画面名</v>
      </c>
      <c r="P1" s="83"/>
      <c r="Q1" s="83"/>
      <c r="R1" s="83"/>
      <c r="S1" s="83"/>
      <c r="T1" s="83"/>
      <c r="U1" s="83"/>
      <c r="V1" s="83"/>
      <c r="W1" s="83"/>
      <c r="X1" s="83"/>
      <c r="Y1" s="75" t="s">
        <v>32</v>
      </c>
      <c r="Z1" s="75"/>
      <c r="AA1" s="75"/>
      <c r="AB1" s="75"/>
      <c r="AC1" s="89" t="str">
        <f>IF(ISBLANK(表紙!AL39),"",(表紙!AL39))</f>
        <v>saitama_ict_practice_project</v>
      </c>
      <c r="AD1" s="89"/>
      <c r="AE1" s="89"/>
      <c r="AF1" s="89"/>
      <c r="AG1" s="89"/>
      <c r="AH1" s="89"/>
      <c r="AI1" s="89"/>
      <c r="AJ1" s="89"/>
      <c r="AK1" s="89"/>
      <c r="AL1" s="89"/>
      <c r="AM1" s="75" t="s">
        <v>1</v>
      </c>
      <c r="AN1" s="75"/>
      <c r="AO1" s="75"/>
      <c r="AP1" s="75"/>
      <c r="AQ1" s="85">
        <f>IF(ISBLANK(表紙!AL47),"",(表紙!AL47))</f>
        <v>43696</v>
      </c>
      <c r="AR1" s="85"/>
      <c r="AS1" s="85"/>
      <c r="AT1" s="85"/>
      <c r="AU1" s="85"/>
      <c r="AV1" s="85"/>
      <c r="AW1" s="85"/>
      <c r="AX1" s="85"/>
      <c r="AY1" s="85"/>
      <c r="AZ1" s="86"/>
    </row>
    <row r="2" spans="1:52" ht="11.25" thickBot="1">
      <c r="A2" s="80"/>
      <c r="B2" s="81"/>
      <c r="C2" s="81"/>
      <c r="D2" s="81"/>
      <c r="E2" s="81"/>
      <c r="F2" s="81"/>
      <c r="G2" s="81"/>
      <c r="H2" s="81"/>
      <c r="I2" s="81"/>
      <c r="J2" s="82"/>
      <c r="K2" s="76" t="s">
        <v>4</v>
      </c>
      <c r="L2" s="76"/>
      <c r="M2" s="76"/>
      <c r="N2" s="76"/>
      <c r="O2" s="84" t="str">
        <f>IF(ISBLANK(表紙!AL45),"",(表紙!AL45))</f>
        <v>プログラムの時に記載する識別名（機能の英名先頭３文字+01）</v>
      </c>
      <c r="P2" s="84"/>
      <c r="Q2" s="84"/>
      <c r="R2" s="84"/>
      <c r="S2" s="84"/>
      <c r="T2" s="84"/>
      <c r="U2" s="84"/>
      <c r="V2" s="84"/>
      <c r="W2" s="84"/>
      <c r="X2" s="84"/>
      <c r="Y2" s="76" t="s">
        <v>0</v>
      </c>
      <c r="Z2" s="76"/>
      <c r="AA2" s="76"/>
      <c r="AB2" s="76"/>
      <c r="AC2" s="90" t="str">
        <f>IF(ISBLANK(表紙!AL41),"",(表紙!AL41))</f>
        <v>【訓練生用】Webアプリ開発</v>
      </c>
      <c r="AD2" s="90"/>
      <c r="AE2" s="90"/>
      <c r="AF2" s="90"/>
      <c r="AG2" s="90"/>
      <c r="AH2" s="90"/>
      <c r="AI2" s="90"/>
      <c r="AJ2" s="90"/>
      <c r="AK2" s="90"/>
      <c r="AL2" s="90"/>
      <c r="AM2" s="76" t="s">
        <v>27</v>
      </c>
      <c r="AN2" s="76"/>
      <c r="AO2" s="76"/>
      <c r="AP2" s="76"/>
      <c r="AQ2" s="87" t="str">
        <f>IF(ISBLANK(表紙!AL49),"",(表紙!AL49))</f>
        <v/>
      </c>
      <c r="AR2" s="87"/>
      <c r="AS2" s="87"/>
      <c r="AT2" s="87"/>
      <c r="AU2" s="87"/>
      <c r="AV2" s="87"/>
      <c r="AW2" s="87"/>
      <c r="AX2" s="87"/>
      <c r="AY2" s="87"/>
      <c r="AZ2" s="88"/>
    </row>
    <row r="3" spans="1:52" ht="11.25" thickTop="1">
      <c r="B3" s="2"/>
    </row>
    <row r="4" spans="1:52">
      <c r="A4" s="15" t="s">
        <v>59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7"/>
    </row>
    <row r="5" spans="1:52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5"/>
    </row>
    <row r="6" spans="1:52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8"/>
    </row>
    <row r="7" spans="1:52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8"/>
    </row>
    <row r="8" spans="1:52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8"/>
    </row>
    <row r="9" spans="1:52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8"/>
    </row>
    <row r="10" spans="1:52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8"/>
    </row>
    <row r="11" spans="1:52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8"/>
    </row>
    <row r="12" spans="1:52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8"/>
    </row>
    <row r="13" spans="1:52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8"/>
    </row>
    <row r="14" spans="1:52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8"/>
    </row>
    <row r="15" spans="1:52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8"/>
    </row>
    <row r="16" spans="1:52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8"/>
    </row>
    <row r="17" spans="1:52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8"/>
    </row>
    <row r="18" spans="1:52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8"/>
    </row>
    <row r="19" spans="1:52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8"/>
    </row>
    <row r="20" spans="1:52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8"/>
    </row>
    <row r="21" spans="1:52">
      <c r="A21" s="6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8"/>
    </row>
    <row r="22" spans="1:52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8"/>
    </row>
    <row r="23" spans="1:52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8"/>
    </row>
    <row r="24" spans="1:52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8"/>
    </row>
    <row r="25" spans="1:52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8"/>
    </row>
    <row r="26" spans="1:52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8"/>
    </row>
    <row r="27" spans="1:52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8"/>
    </row>
    <row r="28" spans="1:52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8"/>
    </row>
    <row r="29" spans="1:52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8"/>
    </row>
    <row r="30" spans="1:52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8"/>
    </row>
    <row r="31" spans="1:52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8"/>
    </row>
    <row r="32" spans="1:52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8"/>
    </row>
    <row r="33" spans="1:52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8"/>
    </row>
    <row r="34" spans="1:52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8"/>
    </row>
    <row r="35" spans="1:52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8"/>
    </row>
    <row r="36" spans="1:52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8"/>
    </row>
    <row r="37" spans="1:52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8"/>
    </row>
    <row r="38" spans="1:52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8"/>
    </row>
    <row r="39" spans="1:52">
      <c r="A39" s="6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8"/>
    </row>
    <row r="40" spans="1:52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8"/>
    </row>
    <row r="41" spans="1:52">
      <c r="A41" s="6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8"/>
    </row>
    <row r="42" spans="1:52">
      <c r="A42" s="6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8"/>
    </row>
    <row r="43" spans="1:52">
      <c r="A43" s="6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8"/>
    </row>
    <row r="44" spans="1:52">
      <c r="A44" s="6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8"/>
    </row>
    <row r="45" spans="1:52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8"/>
    </row>
    <row r="46" spans="1:52">
      <c r="A46" s="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8"/>
    </row>
    <row r="47" spans="1:52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8"/>
    </row>
    <row r="48" spans="1:52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8"/>
    </row>
    <row r="49" spans="1:52">
      <c r="A49" s="6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8"/>
    </row>
    <row r="50" spans="1:52">
      <c r="A50" s="6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8"/>
    </row>
    <row r="51" spans="1:52">
      <c r="A51" s="6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8"/>
    </row>
    <row r="52" spans="1:52">
      <c r="A52" s="6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8"/>
    </row>
    <row r="53" spans="1:52">
      <c r="A53" s="6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8"/>
    </row>
    <row r="54" spans="1:52">
      <c r="A54" s="6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8"/>
    </row>
    <row r="55" spans="1:52">
      <c r="A55" s="6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8"/>
    </row>
    <row r="56" spans="1:52">
      <c r="A56" s="6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8"/>
    </row>
    <row r="57" spans="1:52">
      <c r="A57" s="6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8"/>
    </row>
    <row r="58" spans="1:52">
      <c r="A58" s="6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8"/>
    </row>
    <row r="59" spans="1:52">
      <c r="A59" s="6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8"/>
    </row>
    <row r="60" spans="1:52">
      <c r="A60" s="6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8"/>
    </row>
    <row r="61" spans="1:52">
      <c r="A61" s="6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8"/>
    </row>
    <row r="62" spans="1:52">
      <c r="A62" s="6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8"/>
    </row>
    <row r="63" spans="1:52">
      <c r="A63" s="6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8"/>
    </row>
    <row r="64" spans="1:52">
      <c r="A64" s="6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8"/>
    </row>
    <row r="65" spans="1:52">
      <c r="A65" s="6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8"/>
    </row>
    <row r="66" spans="1:52">
      <c r="A66" s="6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8"/>
    </row>
    <row r="67" spans="1:52">
      <c r="A67" s="6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8"/>
    </row>
    <row r="68" spans="1:52">
      <c r="A68" s="6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8"/>
    </row>
    <row r="69" spans="1:52">
      <c r="A69" s="9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1"/>
    </row>
    <row r="70" spans="1:52" ht="12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</row>
    <row r="71" spans="1:52" ht="12">
      <c r="A71" s="56"/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</row>
    <row r="72" spans="1:52" ht="12">
      <c r="A72" s="56"/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</row>
    <row r="73" spans="1:52" ht="12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</row>
    <row r="74" spans="1:52" ht="12">
      <c r="A74" s="56"/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</row>
    <row r="75" spans="1:52" ht="12">
      <c r="A75" s="56"/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</row>
    <row r="76" spans="1:52" ht="12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</row>
    <row r="77" spans="1:52" ht="12">
      <c r="A77" s="56"/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</row>
    <row r="78" spans="1:52" ht="12">
      <c r="A78" s="56"/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</row>
    <row r="79" spans="1:52" ht="12">
      <c r="A79" s="56"/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</row>
    <row r="80" spans="1:52" ht="12">
      <c r="A80" s="56"/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</row>
    <row r="81" spans="1:32" ht="12">
      <c r="A81" s="56"/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</row>
    <row r="82" spans="1:32" ht="12">
      <c r="A82" s="56"/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</row>
    <row r="83" spans="1:32" ht="12">
      <c r="A83" s="56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</row>
    <row r="84" spans="1:32" ht="12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</row>
    <row r="85" spans="1:32" ht="12">
      <c r="A85" s="56"/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</row>
    <row r="86" spans="1:32" ht="12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</row>
    <row r="87" spans="1:32" ht="12">
      <c r="A87" s="56"/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</row>
    <row r="88" spans="1:32" ht="12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</row>
    <row r="89" spans="1:32" ht="12">
      <c r="A89" s="56"/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</row>
    <row r="90" spans="1:32" ht="12">
      <c r="A90" s="56"/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</row>
    <row r="91" spans="1:32" ht="12">
      <c r="A91" s="56"/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</row>
    <row r="92" spans="1:32" ht="12">
      <c r="A92" s="56"/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</row>
    <row r="93" spans="1:32" ht="12">
      <c r="A93" s="56"/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</row>
    <row r="94" spans="1:32" ht="12">
      <c r="A94" s="56"/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</row>
  </sheetData>
  <mergeCells count="13">
    <mergeCell ref="AQ1:AZ1"/>
    <mergeCell ref="AQ2:AZ2"/>
    <mergeCell ref="AC1:AL1"/>
    <mergeCell ref="AC2:AL2"/>
    <mergeCell ref="AM1:AP1"/>
    <mergeCell ref="AM2:AP2"/>
    <mergeCell ref="K1:N1"/>
    <mergeCell ref="K2:N2"/>
    <mergeCell ref="A1:J2"/>
    <mergeCell ref="Y1:AB1"/>
    <mergeCell ref="Y2:AB2"/>
    <mergeCell ref="O1:X1"/>
    <mergeCell ref="O2:X2"/>
  </mergeCells>
  <phoneticPr fontId="2"/>
  <pageMargins left="0.59055118110236227" right="0.39370078740157483" top="0.59055118110236227" bottom="0.59055118110236227" header="0.39370078740157483" footer="0.39370078740157483"/>
  <pageSetup paperSize="9" orientation="landscape" horizontalDpi="360" verticalDpi="360" r:id="rId1"/>
  <headerFooter alignWithMargins="0">
    <oddFooter>&amp;C&amp;8- &amp;P-1 -&amp;R&amp;"明朝,標準"&amp;8Copyright © 2007 sample Corporation. All Rights Reserved.</oddFooter>
  </headerFooter>
  <drawing r:id="rId2"/>
  <legacyDrawing r:id="rId3"/>
  <controls>
    <mc:AlternateContent xmlns:mc="http://schemas.openxmlformats.org/markup-compatibility/2006">
      <mc:Choice Requires="x14">
        <control shapeId="1570" r:id="rId4" name="CommandButton1">
          <controlPr defaultSize="0" autoLine="0" r:id="rId5">
            <anchor moveWithCells="1">
              <from>
                <xdr:col>10</xdr:col>
                <xdr:colOff>171450</xdr:colOff>
                <xdr:row>5</xdr:row>
                <xdr:rowOff>0</xdr:rowOff>
              </from>
              <to>
                <xdr:col>13</xdr:col>
                <xdr:colOff>19050</xdr:colOff>
                <xdr:row>7</xdr:row>
                <xdr:rowOff>28575</xdr:rowOff>
              </to>
            </anchor>
          </controlPr>
        </control>
      </mc:Choice>
      <mc:Fallback>
        <control shapeId="1570" r:id="rId4" name="CommandButton1"/>
      </mc:Fallback>
    </mc:AlternateContent>
    <mc:AlternateContent xmlns:mc="http://schemas.openxmlformats.org/markup-compatibility/2006">
      <mc:Choice Requires="x14">
        <control shapeId="1574" r:id="rId6" name="ScrollBar1">
          <controlPr defaultSize="0" autoLine="0" r:id="rId7">
            <anchor moveWithCells="1">
              <from>
                <xdr:col>50</xdr:col>
                <xdr:colOff>180975</xdr:colOff>
                <xdr:row>3</xdr:row>
                <xdr:rowOff>114300</xdr:rowOff>
              </from>
              <to>
                <xdr:col>51</xdr:col>
                <xdr:colOff>190500</xdr:colOff>
                <xdr:row>68</xdr:row>
                <xdr:rowOff>114300</xdr:rowOff>
              </to>
            </anchor>
          </controlPr>
        </control>
      </mc:Choice>
      <mc:Fallback>
        <control shapeId="1574" r:id="rId6" name="ScrollBa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121"/>
  <sheetViews>
    <sheetView tabSelected="1" topLeftCell="A4" workbookViewId="0">
      <selection activeCell="D45" sqref="D45"/>
    </sheetView>
  </sheetViews>
  <sheetFormatPr defaultColWidth="2.625" defaultRowHeight="10.5"/>
  <cols>
    <col min="1" max="16384" width="2.625" style="1"/>
  </cols>
  <sheetData>
    <row r="1" spans="1:52" ht="11.25" thickTop="1">
      <c r="A1" s="77" t="s">
        <v>5</v>
      </c>
      <c r="B1" s="78"/>
      <c r="C1" s="78"/>
      <c r="D1" s="78"/>
      <c r="E1" s="78"/>
      <c r="F1" s="78"/>
      <c r="G1" s="78"/>
      <c r="H1" s="78"/>
      <c r="I1" s="78"/>
      <c r="J1" s="79"/>
      <c r="K1" s="75" t="s">
        <v>3</v>
      </c>
      <c r="L1" s="75"/>
      <c r="M1" s="75"/>
      <c r="N1" s="75"/>
      <c r="O1" s="83" t="str">
        <f>IF(ISBLANK(表紙!AL43),"",(表紙!AL43))</f>
        <v>画面名</v>
      </c>
      <c r="P1" s="83"/>
      <c r="Q1" s="83"/>
      <c r="R1" s="83"/>
      <c r="S1" s="83"/>
      <c r="T1" s="83"/>
      <c r="U1" s="83"/>
      <c r="V1" s="83"/>
      <c r="W1" s="83"/>
      <c r="X1" s="83"/>
      <c r="Y1" s="75" t="s">
        <v>6</v>
      </c>
      <c r="Z1" s="75"/>
      <c r="AA1" s="75"/>
      <c r="AB1" s="75"/>
      <c r="AC1" s="89" t="str">
        <f>IF(ISBLANK(表紙!AL39),"",(表紙!AL39))</f>
        <v>saitama_ict_practice_project</v>
      </c>
      <c r="AD1" s="89"/>
      <c r="AE1" s="89"/>
      <c r="AF1" s="89"/>
      <c r="AG1" s="89"/>
      <c r="AH1" s="89"/>
      <c r="AI1" s="89"/>
      <c r="AJ1" s="89"/>
      <c r="AK1" s="89"/>
      <c r="AL1" s="89"/>
      <c r="AM1" s="75" t="s">
        <v>1</v>
      </c>
      <c r="AN1" s="75"/>
      <c r="AO1" s="75"/>
      <c r="AP1" s="75"/>
      <c r="AQ1" s="85">
        <f>IF(ISBLANK(表紙!AL47),"",(表紙!AL47))</f>
        <v>43696</v>
      </c>
      <c r="AR1" s="85"/>
      <c r="AS1" s="85"/>
      <c r="AT1" s="85"/>
      <c r="AU1" s="85"/>
      <c r="AV1" s="85"/>
      <c r="AW1" s="85"/>
      <c r="AX1" s="85"/>
      <c r="AY1" s="85"/>
      <c r="AZ1" s="86"/>
    </row>
    <row r="2" spans="1:52" ht="11.25" thickBot="1">
      <c r="A2" s="80"/>
      <c r="B2" s="81"/>
      <c r="C2" s="81"/>
      <c r="D2" s="81"/>
      <c r="E2" s="81"/>
      <c r="F2" s="81"/>
      <c r="G2" s="81"/>
      <c r="H2" s="81"/>
      <c r="I2" s="81"/>
      <c r="J2" s="82"/>
      <c r="K2" s="76" t="s">
        <v>4</v>
      </c>
      <c r="L2" s="76"/>
      <c r="M2" s="76"/>
      <c r="N2" s="76"/>
      <c r="O2" s="84" t="str">
        <f>IF(ISBLANK(表紙!AL45),"",(表紙!AL45))</f>
        <v>プログラムの時に記載する識別名（機能の英名先頭３文字+01）</v>
      </c>
      <c r="P2" s="84"/>
      <c r="Q2" s="84"/>
      <c r="R2" s="84"/>
      <c r="S2" s="84"/>
      <c r="T2" s="84"/>
      <c r="U2" s="84"/>
      <c r="V2" s="84"/>
      <c r="W2" s="84"/>
      <c r="X2" s="84"/>
      <c r="Y2" s="76" t="s">
        <v>0</v>
      </c>
      <c r="Z2" s="76"/>
      <c r="AA2" s="76"/>
      <c r="AB2" s="76"/>
      <c r="AC2" s="90" t="str">
        <f>IF(ISBLANK(表紙!AL41),"",(表紙!AL41))</f>
        <v>【訓練生用】Webアプリ開発</v>
      </c>
      <c r="AD2" s="90"/>
      <c r="AE2" s="90"/>
      <c r="AF2" s="90"/>
      <c r="AG2" s="90"/>
      <c r="AH2" s="90"/>
      <c r="AI2" s="90"/>
      <c r="AJ2" s="90"/>
      <c r="AK2" s="90"/>
      <c r="AL2" s="90"/>
      <c r="AM2" s="76" t="s">
        <v>27</v>
      </c>
      <c r="AN2" s="76"/>
      <c r="AO2" s="76"/>
      <c r="AP2" s="76"/>
      <c r="AQ2" s="87" t="str">
        <f>IF(ISBLANK(表紙!AL49),"",(表紙!AL49))</f>
        <v/>
      </c>
      <c r="AR2" s="87"/>
      <c r="AS2" s="87"/>
      <c r="AT2" s="87"/>
      <c r="AU2" s="87"/>
      <c r="AV2" s="87"/>
      <c r="AW2" s="87"/>
      <c r="AX2" s="87"/>
      <c r="AY2" s="87"/>
      <c r="AZ2" s="88"/>
    </row>
    <row r="3" spans="1:52" ht="11.25" thickTop="1">
      <c r="B3" s="2"/>
    </row>
    <row r="4" spans="1:52">
      <c r="A4" s="15" t="s">
        <v>59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7"/>
    </row>
    <row r="5" spans="1:52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5"/>
    </row>
    <row r="6" spans="1:52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8"/>
    </row>
    <row r="7" spans="1:52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8"/>
    </row>
    <row r="8" spans="1:52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8"/>
    </row>
    <row r="9" spans="1:52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8"/>
    </row>
    <row r="10" spans="1:52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8"/>
    </row>
    <row r="11" spans="1:52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8"/>
    </row>
    <row r="12" spans="1:52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8"/>
    </row>
    <row r="13" spans="1:52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8"/>
    </row>
    <row r="14" spans="1:52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8"/>
    </row>
    <row r="15" spans="1:52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8"/>
    </row>
    <row r="16" spans="1:52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8"/>
    </row>
    <row r="17" spans="1:52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8"/>
    </row>
    <row r="18" spans="1:52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8"/>
    </row>
    <row r="19" spans="1:52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8"/>
    </row>
    <row r="20" spans="1:52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8"/>
    </row>
    <row r="21" spans="1:52">
      <c r="A21" s="6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8"/>
    </row>
    <row r="22" spans="1:52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8"/>
    </row>
    <row r="23" spans="1:52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8"/>
    </row>
    <row r="24" spans="1:52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8"/>
    </row>
    <row r="25" spans="1:52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8"/>
    </row>
    <row r="26" spans="1:52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8"/>
    </row>
    <row r="27" spans="1:52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8"/>
    </row>
    <row r="28" spans="1:52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8"/>
    </row>
    <row r="29" spans="1:52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8"/>
    </row>
    <row r="30" spans="1:52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8"/>
    </row>
    <row r="31" spans="1:52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8"/>
    </row>
    <row r="32" spans="1:52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8"/>
    </row>
    <row r="33" spans="1:52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8"/>
    </row>
    <row r="34" spans="1:52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8"/>
    </row>
    <row r="35" spans="1:52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8"/>
    </row>
    <row r="36" spans="1:52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8"/>
    </row>
    <row r="37" spans="1:52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8"/>
    </row>
    <row r="38" spans="1:52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8"/>
    </row>
    <row r="39" spans="1:52">
      <c r="A39" s="6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8"/>
    </row>
    <row r="40" spans="1:52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8"/>
    </row>
    <row r="41" spans="1:52">
      <c r="A41" s="6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8"/>
    </row>
    <row r="42" spans="1:52">
      <c r="A42" s="6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8"/>
    </row>
    <row r="43" spans="1:52">
      <c r="A43" s="6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8"/>
    </row>
    <row r="44" spans="1:52">
      <c r="A44" s="6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8"/>
    </row>
    <row r="45" spans="1:52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8"/>
    </row>
    <row r="46" spans="1:52">
      <c r="A46" s="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8"/>
    </row>
    <row r="47" spans="1:52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8"/>
    </row>
    <row r="48" spans="1:52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8"/>
    </row>
    <row r="49" spans="1:52">
      <c r="A49" s="6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8"/>
    </row>
    <row r="50" spans="1:52">
      <c r="A50" s="6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8"/>
    </row>
    <row r="51" spans="1:52">
      <c r="A51" s="6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8"/>
    </row>
    <row r="52" spans="1:52">
      <c r="A52" s="6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8"/>
    </row>
    <row r="53" spans="1:52">
      <c r="A53" s="6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8"/>
    </row>
    <row r="54" spans="1:52">
      <c r="A54" s="6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S54" s="7"/>
      <c r="AT54" s="7"/>
      <c r="AU54" s="7"/>
      <c r="AV54" s="7"/>
      <c r="AW54" s="7"/>
      <c r="AX54" s="7"/>
      <c r="AY54" s="7"/>
      <c r="AZ54" s="8"/>
    </row>
    <row r="55" spans="1:52">
      <c r="A55" s="6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8"/>
    </row>
    <row r="56" spans="1:52">
      <c r="A56" s="6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8"/>
    </row>
    <row r="57" spans="1:52">
      <c r="A57" s="6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8"/>
    </row>
    <row r="58" spans="1:52">
      <c r="A58" s="6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8"/>
    </row>
    <row r="59" spans="1:52">
      <c r="A59" s="6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8"/>
    </row>
    <row r="60" spans="1:52">
      <c r="A60" s="6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8"/>
    </row>
    <row r="61" spans="1:52">
      <c r="A61" s="6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8"/>
    </row>
    <row r="62" spans="1:52">
      <c r="A62" s="6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8"/>
    </row>
    <row r="63" spans="1:52">
      <c r="A63" s="6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8"/>
    </row>
    <row r="64" spans="1:52">
      <c r="A64" s="6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8"/>
    </row>
    <row r="65" spans="1:52">
      <c r="A65" s="6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8"/>
    </row>
    <row r="66" spans="1:52">
      <c r="A66" s="6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8"/>
    </row>
    <row r="67" spans="1:52">
      <c r="A67" s="6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8"/>
    </row>
    <row r="68" spans="1:52">
      <c r="A68" s="6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8"/>
    </row>
    <row r="69" spans="1:52">
      <c r="A69" s="6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8"/>
    </row>
    <row r="70" spans="1:52">
      <c r="A70" s="6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8"/>
    </row>
    <row r="71" spans="1:52">
      <c r="A71" s="6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8"/>
    </row>
    <row r="72" spans="1:52">
      <c r="A72" s="6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8"/>
    </row>
    <row r="73" spans="1:52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8"/>
    </row>
    <row r="74" spans="1:52">
      <c r="A74" s="6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8"/>
    </row>
    <row r="75" spans="1:52">
      <c r="A75" s="6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8"/>
    </row>
    <row r="76" spans="1:52">
      <c r="A76" s="6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8"/>
    </row>
    <row r="77" spans="1:52">
      <c r="A77" s="6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8"/>
    </row>
    <row r="78" spans="1:52">
      <c r="A78" s="6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8"/>
    </row>
    <row r="79" spans="1:52">
      <c r="A79" s="6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8"/>
    </row>
    <row r="80" spans="1:52">
      <c r="A80" s="6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8"/>
    </row>
    <row r="81" spans="1:52">
      <c r="A81" s="6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8"/>
    </row>
    <row r="82" spans="1:52">
      <c r="A82" s="6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8"/>
    </row>
    <row r="83" spans="1:52">
      <c r="A83" s="6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8"/>
    </row>
    <row r="84" spans="1:52">
      <c r="A84" s="6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8"/>
    </row>
    <row r="85" spans="1:52">
      <c r="A85" s="6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8"/>
    </row>
    <row r="86" spans="1:52">
      <c r="A86" s="6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8"/>
    </row>
    <row r="87" spans="1:52">
      <c r="A87" s="6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8"/>
    </row>
    <row r="88" spans="1:52">
      <c r="A88" s="6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8"/>
    </row>
    <row r="89" spans="1:52">
      <c r="A89" s="6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8"/>
    </row>
    <row r="90" spans="1:52">
      <c r="A90" s="6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8"/>
    </row>
    <row r="91" spans="1:52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8"/>
    </row>
    <row r="92" spans="1:52">
      <c r="A92" s="6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8"/>
    </row>
    <row r="93" spans="1:52">
      <c r="A93" s="6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8"/>
    </row>
    <row r="94" spans="1:52">
      <c r="A94" s="6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8"/>
    </row>
    <row r="95" spans="1:52">
      <c r="A95" s="6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8"/>
    </row>
    <row r="96" spans="1:52">
      <c r="A96" s="9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1"/>
    </row>
    <row r="97" spans="1:32" ht="12">
      <c r="A97" s="56"/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</row>
    <row r="98" spans="1:32" ht="12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</row>
    <row r="99" spans="1:32" ht="12">
      <c r="A99" s="56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</row>
    <row r="100" spans="1:32" ht="12">
      <c r="A100" s="56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</row>
    <row r="101" spans="1:32" ht="12">
      <c r="A101" s="56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</row>
    <row r="102" spans="1:32" ht="12">
      <c r="A102" s="56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</row>
    <row r="103" spans="1:32" ht="12">
      <c r="A103" s="56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</row>
    <row r="104" spans="1:32" ht="12">
      <c r="A104" s="56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</row>
    <row r="105" spans="1:32" ht="12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</row>
    <row r="106" spans="1:32" ht="12">
      <c r="A106" s="56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</row>
    <row r="107" spans="1:32" ht="12">
      <c r="A107" s="56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</row>
    <row r="108" spans="1:32" ht="12">
      <c r="A108" s="56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</row>
    <row r="109" spans="1:32" ht="12">
      <c r="A109" s="56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</row>
    <row r="110" spans="1:32" ht="12">
      <c r="A110" s="56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</row>
    <row r="111" spans="1:32" ht="12">
      <c r="A111" s="56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</row>
    <row r="112" spans="1:32" ht="12">
      <c r="A112" s="56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</row>
    <row r="113" spans="1:32" ht="12">
      <c r="A113" s="56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</row>
    <row r="114" spans="1:32" ht="12">
      <c r="A114" s="56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</row>
    <row r="115" spans="1:32" ht="12">
      <c r="A115" s="56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</row>
    <row r="116" spans="1:32" ht="12">
      <c r="A116" s="56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</row>
    <row r="117" spans="1:32" ht="12">
      <c r="A117" s="56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</row>
    <row r="118" spans="1:32" ht="12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</row>
    <row r="119" spans="1:32" ht="12">
      <c r="A119" s="56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</row>
    <row r="120" spans="1:32" ht="12">
      <c r="A120" s="56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</row>
    <row r="121" spans="1:32" ht="12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</row>
  </sheetData>
  <mergeCells count="13">
    <mergeCell ref="A1:J2"/>
    <mergeCell ref="K1:N1"/>
    <mergeCell ref="O1:X1"/>
    <mergeCell ref="Y1:AB1"/>
    <mergeCell ref="AC1:AL1"/>
    <mergeCell ref="AQ1:AZ1"/>
    <mergeCell ref="K2:N2"/>
    <mergeCell ref="O2:X2"/>
    <mergeCell ref="Y2:AB2"/>
    <mergeCell ref="AC2:AL2"/>
    <mergeCell ref="AM2:AP2"/>
    <mergeCell ref="AQ2:AZ2"/>
    <mergeCell ref="AM1:AP1"/>
  </mergeCells>
  <phoneticPr fontId="2"/>
  <pageMargins left="0.59055118110236227" right="0.39370078740157483" top="0.59055118110236227" bottom="0.59055118110236227" header="0.39370078740157483" footer="0.39370078740157483"/>
  <pageSetup paperSize="9" orientation="landscape" horizontalDpi="360" verticalDpi="360" r:id="rId1"/>
  <headerFooter alignWithMargins="0">
    <oddFooter>&amp;C&amp;8- &amp;P-1 -&amp;R&amp;"明朝,標準"&amp;8Copyright © 2007 sample Corporation. All Rights Reserved.</oddFooter>
  </headerFooter>
  <drawing r:id="rId2"/>
  <legacyDrawing r:id="rId3"/>
  <controls>
    <mc:AlternateContent xmlns:mc="http://schemas.openxmlformats.org/markup-compatibility/2006">
      <mc:Choice Requires="x14">
        <control shapeId="9241" r:id="rId4" name="ScrollBar1">
          <controlPr defaultSize="0" autoLine="0" r:id="rId5">
            <anchor moveWithCells="1">
              <from>
                <xdr:col>50</xdr:col>
                <xdr:colOff>190500</xdr:colOff>
                <xdr:row>4</xdr:row>
                <xdr:rowOff>9525</xdr:rowOff>
              </from>
              <to>
                <xdr:col>51</xdr:col>
                <xdr:colOff>200025</xdr:colOff>
                <xdr:row>95</xdr:row>
                <xdr:rowOff>133350</xdr:rowOff>
              </to>
            </anchor>
          </controlPr>
        </control>
      </mc:Choice>
      <mc:Fallback>
        <control shapeId="9241" r:id="rId4" name="ScrollBar1"/>
      </mc:Fallback>
    </mc:AlternateContent>
    <mc:AlternateContent xmlns:mc="http://schemas.openxmlformats.org/markup-compatibility/2006">
      <mc:Choice Requires="x14">
        <control shapeId="9272" r:id="rId6" name="CommandButton1">
          <controlPr defaultSize="0" autoLine="0" r:id="rId7">
            <anchor moveWithCells="1">
              <from>
                <xdr:col>27</xdr:col>
                <xdr:colOff>171450</xdr:colOff>
                <xdr:row>92</xdr:row>
                <xdr:rowOff>76200</xdr:rowOff>
              </from>
              <to>
                <xdr:col>31</xdr:col>
                <xdr:colOff>180975</xdr:colOff>
                <xdr:row>94</xdr:row>
                <xdr:rowOff>104775</xdr:rowOff>
              </to>
            </anchor>
          </controlPr>
        </control>
      </mc:Choice>
      <mc:Fallback>
        <control shapeId="9272" r:id="rId6" name="CommandButton1"/>
      </mc:Fallback>
    </mc:AlternateContent>
    <mc:AlternateContent xmlns:mc="http://schemas.openxmlformats.org/markup-compatibility/2006">
      <mc:Choice Requires="x14">
        <control shapeId="9274" r:id="rId8" name="TextBox1">
          <controlPr defaultSize="0" autoLine="0" r:id="rId9">
            <anchor moveWithCells="1">
              <from>
                <xdr:col>9</xdr:col>
                <xdr:colOff>142875</xdr:colOff>
                <xdr:row>85</xdr:row>
                <xdr:rowOff>104775</xdr:rowOff>
              </from>
              <to>
                <xdr:col>30</xdr:col>
                <xdr:colOff>190500</xdr:colOff>
                <xdr:row>92</xdr:row>
                <xdr:rowOff>19050</xdr:rowOff>
              </to>
            </anchor>
          </controlPr>
        </control>
      </mc:Choice>
      <mc:Fallback>
        <control shapeId="9274" r:id="rId8" name="TextBox1"/>
      </mc:Fallback>
    </mc:AlternateContent>
    <mc:AlternateContent xmlns:mc="http://schemas.openxmlformats.org/markup-compatibility/2006">
      <mc:Choice Requires="x14">
        <control shapeId="9275" r:id="rId10" name="CommandButton2">
          <controlPr defaultSize="0" autoLine="0" r:id="rId11">
            <anchor moveWithCells="1">
              <from>
                <xdr:col>11</xdr:col>
                <xdr:colOff>9525</xdr:colOff>
                <xdr:row>5</xdr:row>
                <xdr:rowOff>38100</xdr:rowOff>
              </from>
              <to>
                <xdr:col>13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9275" r:id="rId1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52"/>
  <sheetViews>
    <sheetView workbookViewId="0">
      <pane ySplit="4" topLeftCell="A5" activePane="bottomLeft" state="frozen"/>
      <selection pane="bottomLeft" activeCell="U10" sqref="U10:AZ10"/>
    </sheetView>
  </sheetViews>
  <sheetFormatPr defaultColWidth="2.625" defaultRowHeight="10.5"/>
  <cols>
    <col min="1" max="16384" width="2.625" style="1"/>
  </cols>
  <sheetData>
    <row r="1" spans="1:52" ht="11.25" thickTop="1">
      <c r="A1" s="77" t="s">
        <v>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9"/>
      <c r="Y1" s="75" t="s">
        <v>3</v>
      </c>
      <c r="Z1" s="75"/>
      <c r="AA1" s="75"/>
      <c r="AB1" s="75"/>
      <c r="AC1" s="89" t="str">
        <f>IF(ISBLANK(表紙!AL43),"",(表紙!AL43))</f>
        <v>画面名</v>
      </c>
      <c r="AD1" s="89"/>
      <c r="AE1" s="89"/>
      <c r="AF1" s="89"/>
      <c r="AG1" s="89"/>
      <c r="AH1" s="89"/>
      <c r="AI1" s="89"/>
      <c r="AJ1" s="89"/>
      <c r="AK1" s="89"/>
      <c r="AL1" s="89"/>
      <c r="AM1" s="75" t="s">
        <v>32</v>
      </c>
      <c r="AN1" s="75"/>
      <c r="AO1" s="75"/>
      <c r="AP1" s="75"/>
      <c r="AQ1" s="89" t="str">
        <f>IF(ISBLANK(表紙!AL39),"",(表紙!AL39))</f>
        <v>saitama_ict_practice_project</v>
      </c>
      <c r="AR1" s="89"/>
      <c r="AS1" s="89"/>
      <c r="AT1" s="89"/>
      <c r="AU1" s="89"/>
      <c r="AV1" s="89"/>
      <c r="AW1" s="89"/>
      <c r="AX1" s="89"/>
      <c r="AY1" s="89"/>
      <c r="AZ1" s="89"/>
    </row>
    <row r="2" spans="1:52" ht="11.25" thickBot="1">
      <c r="A2" s="80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2"/>
      <c r="Y2" s="76" t="s">
        <v>4</v>
      </c>
      <c r="Z2" s="76"/>
      <c r="AA2" s="76"/>
      <c r="AB2" s="76"/>
      <c r="AC2" s="90" t="str">
        <f>IF(ISBLANK(表紙!AL45),"",(表紙!AL45))</f>
        <v>プログラムの時に記載する識別名（機能の英名先頭３文字+01）</v>
      </c>
      <c r="AD2" s="90"/>
      <c r="AE2" s="90"/>
      <c r="AF2" s="90"/>
      <c r="AG2" s="90"/>
      <c r="AH2" s="90"/>
      <c r="AI2" s="90"/>
      <c r="AJ2" s="90"/>
      <c r="AK2" s="90"/>
      <c r="AL2" s="90"/>
      <c r="AM2" s="76" t="s">
        <v>0</v>
      </c>
      <c r="AN2" s="76"/>
      <c r="AO2" s="76"/>
      <c r="AP2" s="76"/>
      <c r="AQ2" s="90" t="str">
        <f>IF(ISBLANK(表紙!AL41),"",(表紙!AL41))</f>
        <v>【訓練生用】Webアプリ開発</v>
      </c>
      <c r="AR2" s="90"/>
      <c r="AS2" s="90"/>
      <c r="AT2" s="90"/>
      <c r="AU2" s="90"/>
      <c r="AV2" s="90"/>
      <c r="AW2" s="90"/>
      <c r="AX2" s="90"/>
      <c r="AY2" s="90"/>
      <c r="AZ2" s="90"/>
    </row>
    <row r="3" spans="1:52" ht="11.25" thickTop="1"/>
    <row r="4" spans="1:52">
      <c r="A4" s="95" t="s">
        <v>37</v>
      </c>
      <c r="B4" s="97"/>
      <c r="C4" s="95" t="s">
        <v>33</v>
      </c>
      <c r="D4" s="96"/>
      <c r="E4" s="96"/>
      <c r="F4" s="97"/>
      <c r="G4" s="95" t="s">
        <v>34</v>
      </c>
      <c r="H4" s="96"/>
      <c r="I4" s="96"/>
      <c r="J4" s="97"/>
      <c r="K4" s="95" t="s">
        <v>35</v>
      </c>
      <c r="L4" s="96"/>
      <c r="M4" s="96"/>
      <c r="N4" s="96"/>
      <c r="O4" s="96"/>
      <c r="P4" s="96"/>
      <c r="Q4" s="96"/>
      <c r="R4" s="96"/>
      <c r="S4" s="96"/>
      <c r="T4" s="97"/>
      <c r="U4" s="95" t="s">
        <v>36</v>
      </c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6"/>
      <c r="AP4" s="96"/>
      <c r="AQ4" s="96"/>
      <c r="AR4" s="96"/>
      <c r="AS4" s="96"/>
      <c r="AT4" s="96"/>
      <c r="AU4" s="96"/>
      <c r="AV4" s="96"/>
      <c r="AW4" s="96"/>
      <c r="AX4" s="96"/>
      <c r="AY4" s="96"/>
      <c r="AZ4" s="96"/>
    </row>
    <row r="5" spans="1:52">
      <c r="A5" s="98">
        <f t="shared" ref="A5:A52" si="0">ROW()-4</f>
        <v>1</v>
      </c>
      <c r="B5" s="98"/>
      <c r="C5" s="99">
        <v>43702</v>
      </c>
      <c r="D5" s="99"/>
      <c r="E5" s="99"/>
      <c r="F5" s="99"/>
      <c r="G5" s="98" t="s">
        <v>67</v>
      </c>
      <c r="H5" s="98"/>
      <c r="I5" s="98"/>
      <c r="J5" s="98"/>
      <c r="K5" s="98" t="s">
        <v>136</v>
      </c>
      <c r="L5" s="98"/>
      <c r="M5" s="98"/>
      <c r="N5" s="98"/>
      <c r="O5" s="98"/>
      <c r="P5" s="98"/>
      <c r="Q5" s="98"/>
      <c r="R5" s="98"/>
      <c r="S5" s="98"/>
      <c r="T5" s="98"/>
      <c r="U5" s="98" t="s">
        <v>139</v>
      </c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</row>
    <row r="6" spans="1:52">
      <c r="A6" s="92">
        <f t="shared" si="0"/>
        <v>2</v>
      </c>
      <c r="B6" s="92"/>
      <c r="C6" s="94"/>
      <c r="D6" s="94"/>
      <c r="E6" s="94"/>
      <c r="F6" s="94"/>
      <c r="G6" s="92" t="s">
        <v>142</v>
      </c>
      <c r="H6" s="92"/>
      <c r="I6" s="92"/>
      <c r="J6" s="92"/>
      <c r="K6" s="92" t="s">
        <v>137</v>
      </c>
      <c r="L6" s="92"/>
      <c r="M6" s="92"/>
      <c r="N6" s="92"/>
      <c r="O6" s="92"/>
      <c r="P6" s="92"/>
      <c r="Q6" s="92"/>
      <c r="R6" s="92"/>
      <c r="S6" s="92"/>
      <c r="T6" s="92"/>
      <c r="U6" s="92" t="s">
        <v>140</v>
      </c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</row>
    <row r="7" spans="1:52">
      <c r="A7" s="92">
        <f t="shared" si="0"/>
        <v>3</v>
      </c>
      <c r="B7" s="92"/>
      <c r="C7" s="94"/>
      <c r="D7" s="94"/>
      <c r="E7" s="94"/>
      <c r="F7" s="94"/>
      <c r="G7" s="92" t="s">
        <v>142</v>
      </c>
      <c r="H7" s="92"/>
      <c r="I7" s="92"/>
      <c r="J7" s="92"/>
      <c r="K7" s="92" t="s">
        <v>138</v>
      </c>
      <c r="L7" s="92"/>
      <c r="M7" s="92"/>
      <c r="N7" s="92"/>
      <c r="O7" s="92"/>
      <c r="P7" s="92"/>
      <c r="Q7" s="92"/>
      <c r="R7" s="92"/>
      <c r="S7" s="92"/>
      <c r="T7" s="92"/>
      <c r="U7" s="92" t="s">
        <v>141</v>
      </c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</row>
    <row r="8" spans="1:52">
      <c r="A8" s="92">
        <f t="shared" si="0"/>
        <v>4</v>
      </c>
      <c r="B8" s="92"/>
      <c r="C8" s="94">
        <v>43703</v>
      </c>
      <c r="D8" s="94"/>
      <c r="E8" s="94"/>
      <c r="F8" s="94"/>
      <c r="G8" s="92" t="s">
        <v>142</v>
      </c>
      <c r="H8" s="92"/>
      <c r="I8" s="92"/>
      <c r="J8" s="92"/>
      <c r="K8" s="92" t="s">
        <v>138</v>
      </c>
      <c r="L8" s="92"/>
      <c r="M8" s="92"/>
      <c r="N8" s="92"/>
      <c r="O8" s="92"/>
      <c r="P8" s="92"/>
      <c r="Q8" s="92"/>
      <c r="R8" s="92"/>
      <c r="S8" s="92"/>
      <c r="T8" s="92"/>
      <c r="U8" s="92" t="s">
        <v>145</v>
      </c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</row>
    <row r="9" spans="1:52">
      <c r="A9" s="92">
        <f t="shared" si="0"/>
        <v>5</v>
      </c>
      <c r="B9" s="92"/>
      <c r="C9" s="94"/>
      <c r="D9" s="94"/>
      <c r="E9" s="94"/>
      <c r="F9" s="94"/>
      <c r="G9" s="92"/>
      <c r="H9" s="92"/>
      <c r="I9" s="92"/>
      <c r="J9" s="92"/>
      <c r="K9" s="92" t="s">
        <v>143</v>
      </c>
      <c r="L9" s="92"/>
      <c r="M9" s="92"/>
      <c r="N9" s="92"/>
      <c r="O9" s="92"/>
      <c r="P9" s="92"/>
      <c r="Q9" s="92"/>
      <c r="R9" s="92"/>
      <c r="S9" s="92"/>
      <c r="T9" s="92"/>
      <c r="U9" s="92" t="s">
        <v>146</v>
      </c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</row>
    <row r="10" spans="1:52">
      <c r="A10" s="92">
        <f t="shared" si="0"/>
        <v>6</v>
      </c>
      <c r="B10" s="92"/>
      <c r="C10" s="94"/>
      <c r="D10" s="94"/>
      <c r="E10" s="94"/>
      <c r="F10" s="94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</row>
    <row r="11" spans="1:52">
      <c r="A11" s="92">
        <f t="shared" si="0"/>
        <v>7</v>
      </c>
      <c r="B11" s="92"/>
      <c r="C11" s="94"/>
      <c r="D11" s="94"/>
      <c r="E11" s="94"/>
      <c r="F11" s="94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</row>
    <row r="12" spans="1:52">
      <c r="A12" s="92">
        <f t="shared" si="0"/>
        <v>8</v>
      </c>
      <c r="B12" s="92"/>
      <c r="C12" s="94"/>
      <c r="D12" s="94"/>
      <c r="E12" s="94"/>
      <c r="F12" s="94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</row>
    <row r="13" spans="1:52">
      <c r="A13" s="92">
        <f t="shared" si="0"/>
        <v>9</v>
      </c>
      <c r="B13" s="92"/>
      <c r="C13" s="94"/>
      <c r="D13" s="94"/>
      <c r="E13" s="94"/>
      <c r="F13" s="94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</row>
    <row r="14" spans="1:52">
      <c r="A14" s="92">
        <f t="shared" si="0"/>
        <v>10</v>
      </c>
      <c r="B14" s="92"/>
      <c r="C14" s="94"/>
      <c r="D14" s="94"/>
      <c r="E14" s="94"/>
      <c r="F14" s="94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</row>
    <row r="15" spans="1:52">
      <c r="A15" s="92">
        <f t="shared" si="0"/>
        <v>11</v>
      </c>
      <c r="B15" s="92"/>
      <c r="C15" s="94"/>
      <c r="D15" s="94"/>
      <c r="E15" s="94"/>
      <c r="F15" s="94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</row>
    <row r="16" spans="1:52">
      <c r="A16" s="92">
        <f t="shared" si="0"/>
        <v>12</v>
      </c>
      <c r="B16" s="92"/>
      <c r="C16" s="94"/>
      <c r="D16" s="94"/>
      <c r="E16" s="94"/>
      <c r="F16" s="94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</row>
    <row r="17" spans="1:52">
      <c r="A17" s="92">
        <f t="shared" si="0"/>
        <v>13</v>
      </c>
      <c r="B17" s="92"/>
      <c r="C17" s="94"/>
      <c r="D17" s="94"/>
      <c r="E17" s="94"/>
      <c r="F17" s="94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</row>
    <row r="18" spans="1:52">
      <c r="A18" s="92">
        <f t="shared" si="0"/>
        <v>14</v>
      </c>
      <c r="B18" s="92"/>
      <c r="C18" s="94"/>
      <c r="D18" s="94"/>
      <c r="E18" s="94"/>
      <c r="F18" s="94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</row>
    <row r="19" spans="1:52">
      <c r="A19" s="92">
        <f t="shared" si="0"/>
        <v>15</v>
      </c>
      <c r="B19" s="92"/>
      <c r="C19" s="94"/>
      <c r="D19" s="94"/>
      <c r="E19" s="94"/>
      <c r="F19" s="94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</row>
    <row r="20" spans="1:52">
      <c r="A20" s="92">
        <f t="shared" si="0"/>
        <v>16</v>
      </c>
      <c r="B20" s="92"/>
      <c r="C20" s="94"/>
      <c r="D20" s="94"/>
      <c r="E20" s="94"/>
      <c r="F20" s="94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</row>
    <row r="21" spans="1:52">
      <c r="A21" s="92">
        <f t="shared" si="0"/>
        <v>17</v>
      </c>
      <c r="B21" s="92"/>
      <c r="C21" s="94"/>
      <c r="D21" s="94"/>
      <c r="E21" s="94"/>
      <c r="F21" s="94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</row>
    <row r="22" spans="1:52">
      <c r="A22" s="92">
        <f t="shared" si="0"/>
        <v>18</v>
      </c>
      <c r="B22" s="92"/>
      <c r="C22" s="94"/>
      <c r="D22" s="94"/>
      <c r="E22" s="94"/>
      <c r="F22" s="94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</row>
    <row r="23" spans="1:52">
      <c r="A23" s="92">
        <f t="shared" si="0"/>
        <v>19</v>
      </c>
      <c r="B23" s="92"/>
      <c r="C23" s="94"/>
      <c r="D23" s="94"/>
      <c r="E23" s="94"/>
      <c r="F23" s="94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</row>
    <row r="24" spans="1:52">
      <c r="A24" s="92">
        <f t="shared" si="0"/>
        <v>20</v>
      </c>
      <c r="B24" s="92"/>
      <c r="C24" s="94"/>
      <c r="D24" s="94"/>
      <c r="E24" s="94"/>
      <c r="F24" s="94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</row>
    <row r="25" spans="1:52">
      <c r="A25" s="92">
        <f t="shared" si="0"/>
        <v>21</v>
      </c>
      <c r="B25" s="92"/>
      <c r="C25" s="94"/>
      <c r="D25" s="94"/>
      <c r="E25" s="94"/>
      <c r="F25" s="94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</row>
    <row r="26" spans="1:52">
      <c r="A26" s="92">
        <f t="shared" si="0"/>
        <v>22</v>
      </c>
      <c r="B26" s="92"/>
      <c r="C26" s="94"/>
      <c r="D26" s="94"/>
      <c r="E26" s="94"/>
      <c r="F26" s="94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</row>
    <row r="27" spans="1:52">
      <c r="A27" s="92">
        <f t="shared" si="0"/>
        <v>23</v>
      </c>
      <c r="B27" s="92"/>
      <c r="C27" s="94"/>
      <c r="D27" s="94"/>
      <c r="E27" s="94"/>
      <c r="F27" s="94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</row>
    <row r="28" spans="1:52">
      <c r="A28" s="92">
        <f t="shared" si="0"/>
        <v>24</v>
      </c>
      <c r="B28" s="92"/>
      <c r="C28" s="94"/>
      <c r="D28" s="94"/>
      <c r="E28" s="94"/>
      <c r="F28" s="94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</row>
    <row r="29" spans="1:52">
      <c r="A29" s="92">
        <f t="shared" si="0"/>
        <v>25</v>
      </c>
      <c r="B29" s="92"/>
      <c r="C29" s="94"/>
      <c r="D29" s="94"/>
      <c r="E29" s="94"/>
      <c r="F29" s="94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</row>
    <row r="30" spans="1:52">
      <c r="A30" s="92">
        <f t="shared" si="0"/>
        <v>26</v>
      </c>
      <c r="B30" s="92"/>
      <c r="C30" s="94"/>
      <c r="D30" s="94"/>
      <c r="E30" s="94"/>
      <c r="F30" s="94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</row>
    <row r="31" spans="1:52">
      <c r="A31" s="92">
        <f t="shared" si="0"/>
        <v>27</v>
      </c>
      <c r="B31" s="92"/>
      <c r="C31" s="94"/>
      <c r="D31" s="94"/>
      <c r="E31" s="94"/>
      <c r="F31" s="94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</row>
    <row r="32" spans="1:52">
      <c r="A32" s="92">
        <f t="shared" si="0"/>
        <v>28</v>
      </c>
      <c r="B32" s="92"/>
      <c r="C32" s="94"/>
      <c r="D32" s="94"/>
      <c r="E32" s="94"/>
      <c r="F32" s="94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</row>
    <row r="33" spans="1:52">
      <c r="A33" s="92">
        <f t="shared" si="0"/>
        <v>29</v>
      </c>
      <c r="B33" s="92"/>
      <c r="C33" s="94"/>
      <c r="D33" s="94"/>
      <c r="E33" s="94"/>
      <c r="F33" s="94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</row>
    <row r="34" spans="1:52">
      <c r="A34" s="92">
        <f t="shared" si="0"/>
        <v>30</v>
      </c>
      <c r="B34" s="92"/>
      <c r="C34" s="94"/>
      <c r="D34" s="94"/>
      <c r="E34" s="94"/>
      <c r="F34" s="94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</row>
    <row r="35" spans="1:52">
      <c r="A35" s="92">
        <f t="shared" si="0"/>
        <v>31</v>
      </c>
      <c r="B35" s="92"/>
      <c r="C35" s="94"/>
      <c r="D35" s="94"/>
      <c r="E35" s="94"/>
      <c r="F35" s="94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</row>
    <row r="36" spans="1:52">
      <c r="A36" s="92">
        <f t="shared" si="0"/>
        <v>32</v>
      </c>
      <c r="B36" s="92"/>
      <c r="C36" s="94"/>
      <c r="D36" s="94"/>
      <c r="E36" s="94"/>
      <c r="F36" s="94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</row>
    <row r="37" spans="1:52">
      <c r="A37" s="92">
        <f t="shared" si="0"/>
        <v>33</v>
      </c>
      <c r="B37" s="92"/>
      <c r="C37" s="94"/>
      <c r="D37" s="94"/>
      <c r="E37" s="94"/>
      <c r="F37" s="94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</row>
    <row r="38" spans="1:52">
      <c r="A38" s="92">
        <f t="shared" si="0"/>
        <v>34</v>
      </c>
      <c r="B38" s="92"/>
      <c r="C38" s="94"/>
      <c r="D38" s="94"/>
      <c r="E38" s="94"/>
      <c r="F38" s="94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</row>
    <row r="39" spans="1:52">
      <c r="A39" s="92">
        <f t="shared" si="0"/>
        <v>35</v>
      </c>
      <c r="B39" s="92"/>
      <c r="C39" s="94"/>
      <c r="D39" s="94"/>
      <c r="E39" s="94"/>
      <c r="F39" s="94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</row>
    <row r="40" spans="1:52">
      <c r="A40" s="92">
        <f t="shared" si="0"/>
        <v>36</v>
      </c>
      <c r="B40" s="92"/>
      <c r="C40" s="94"/>
      <c r="D40" s="94"/>
      <c r="E40" s="94"/>
      <c r="F40" s="94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</row>
    <row r="41" spans="1:52">
      <c r="A41" s="92">
        <f t="shared" si="0"/>
        <v>37</v>
      </c>
      <c r="B41" s="92"/>
      <c r="C41" s="94"/>
      <c r="D41" s="94"/>
      <c r="E41" s="94"/>
      <c r="F41" s="94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</row>
    <row r="42" spans="1:52">
      <c r="A42" s="92">
        <f t="shared" si="0"/>
        <v>38</v>
      </c>
      <c r="B42" s="92"/>
      <c r="C42" s="94"/>
      <c r="D42" s="94"/>
      <c r="E42" s="94"/>
      <c r="F42" s="94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</row>
    <row r="43" spans="1:52">
      <c r="A43" s="92">
        <f t="shared" si="0"/>
        <v>39</v>
      </c>
      <c r="B43" s="92"/>
      <c r="C43" s="94"/>
      <c r="D43" s="94"/>
      <c r="E43" s="94"/>
      <c r="F43" s="94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</row>
    <row r="44" spans="1:52">
      <c r="A44" s="92">
        <f t="shared" si="0"/>
        <v>40</v>
      </c>
      <c r="B44" s="92"/>
      <c r="C44" s="94"/>
      <c r="D44" s="94"/>
      <c r="E44" s="94"/>
      <c r="F44" s="94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</row>
    <row r="45" spans="1:52">
      <c r="A45" s="92">
        <f t="shared" si="0"/>
        <v>41</v>
      </c>
      <c r="B45" s="92"/>
      <c r="C45" s="94"/>
      <c r="D45" s="94"/>
      <c r="E45" s="94"/>
      <c r="F45" s="94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</row>
    <row r="46" spans="1:52">
      <c r="A46" s="92">
        <f t="shared" si="0"/>
        <v>42</v>
      </c>
      <c r="B46" s="92"/>
      <c r="C46" s="94"/>
      <c r="D46" s="94"/>
      <c r="E46" s="94"/>
      <c r="F46" s="94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</row>
    <row r="47" spans="1:52">
      <c r="A47" s="92">
        <f t="shared" si="0"/>
        <v>43</v>
      </c>
      <c r="B47" s="92"/>
      <c r="C47" s="94"/>
      <c r="D47" s="94"/>
      <c r="E47" s="94"/>
      <c r="F47" s="94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</row>
    <row r="48" spans="1:52">
      <c r="A48" s="92">
        <f t="shared" si="0"/>
        <v>44</v>
      </c>
      <c r="B48" s="92"/>
      <c r="C48" s="94"/>
      <c r="D48" s="94"/>
      <c r="E48" s="94"/>
      <c r="F48" s="94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</row>
    <row r="49" spans="1:52">
      <c r="A49" s="92">
        <f t="shared" si="0"/>
        <v>45</v>
      </c>
      <c r="B49" s="92"/>
      <c r="C49" s="94"/>
      <c r="D49" s="94"/>
      <c r="E49" s="94"/>
      <c r="F49" s="94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</row>
    <row r="50" spans="1:52">
      <c r="A50" s="92">
        <f t="shared" si="0"/>
        <v>46</v>
      </c>
      <c r="B50" s="92"/>
      <c r="C50" s="94"/>
      <c r="D50" s="94"/>
      <c r="E50" s="94"/>
      <c r="F50" s="94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</row>
    <row r="51" spans="1:52">
      <c r="A51" s="92">
        <f t="shared" si="0"/>
        <v>47</v>
      </c>
      <c r="B51" s="92"/>
      <c r="C51" s="94"/>
      <c r="D51" s="94"/>
      <c r="E51" s="94"/>
      <c r="F51" s="94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</row>
    <row r="52" spans="1:52">
      <c r="A52" s="91">
        <f t="shared" si="0"/>
        <v>48</v>
      </c>
      <c r="B52" s="91"/>
      <c r="C52" s="93"/>
      <c r="D52" s="93"/>
      <c r="E52" s="93"/>
      <c r="F52" s="93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</row>
  </sheetData>
  <mergeCells count="254">
    <mergeCell ref="G4:J4"/>
    <mergeCell ref="G5:J5"/>
    <mergeCell ref="K4:T4"/>
    <mergeCell ref="K5:T5"/>
    <mergeCell ref="A4:B4"/>
    <mergeCell ref="U7:AZ7"/>
    <mergeCell ref="A5:B5"/>
    <mergeCell ref="C4:F4"/>
    <mergeCell ref="C5:F5"/>
    <mergeCell ref="U4:AZ4"/>
    <mergeCell ref="U5:AZ5"/>
    <mergeCell ref="A6:B6"/>
    <mergeCell ref="C6:F6"/>
    <mergeCell ref="G6:J6"/>
    <mergeCell ref="K6:T6"/>
    <mergeCell ref="U6:AZ6"/>
    <mergeCell ref="A8:B8"/>
    <mergeCell ref="C8:F8"/>
    <mergeCell ref="G8:J8"/>
    <mergeCell ref="K8:T8"/>
    <mergeCell ref="U8:AZ8"/>
    <mergeCell ref="A7:B7"/>
    <mergeCell ref="C7:F7"/>
    <mergeCell ref="G7:J7"/>
    <mergeCell ref="K7:T7"/>
    <mergeCell ref="U9:AZ9"/>
    <mergeCell ref="A10:B10"/>
    <mergeCell ref="C10:F10"/>
    <mergeCell ref="G10:J10"/>
    <mergeCell ref="K10:T10"/>
    <mergeCell ref="U10:AZ10"/>
    <mergeCell ref="A9:B9"/>
    <mergeCell ref="C9:F9"/>
    <mergeCell ref="G9:J9"/>
    <mergeCell ref="K9:T9"/>
    <mergeCell ref="U11:AZ11"/>
    <mergeCell ref="A12:B12"/>
    <mergeCell ref="C12:F12"/>
    <mergeCell ref="G12:J12"/>
    <mergeCell ref="K12:T12"/>
    <mergeCell ref="U12:AZ12"/>
    <mergeCell ref="A11:B11"/>
    <mergeCell ref="C11:F11"/>
    <mergeCell ref="G11:J11"/>
    <mergeCell ref="K11:T11"/>
    <mergeCell ref="U13:AZ13"/>
    <mergeCell ref="A14:B14"/>
    <mergeCell ref="C14:F14"/>
    <mergeCell ref="G14:J14"/>
    <mergeCell ref="K14:T14"/>
    <mergeCell ref="U14:AZ14"/>
    <mergeCell ref="A13:B13"/>
    <mergeCell ref="C13:F13"/>
    <mergeCell ref="G13:J13"/>
    <mergeCell ref="K13:T13"/>
    <mergeCell ref="U15:AZ15"/>
    <mergeCell ref="A16:B16"/>
    <mergeCell ref="C16:F16"/>
    <mergeCell ref="G16:J16"/>
    <mergeCell ref="K16:T16"/>
    <mergeCell ref="U16:AZ16"/>
    <mergeCell ref="A15:B15"/>
    <mergeCell ref="C15:F15"/>
    <mergeCell ref="G15:J15"/>
    <mergeCell ref="K15:T15"/>
    <mergeCell ref="U17:AZ17"/>
    <mergeCell ref="A18:B18"/>
    <mergeCell ref="C18:F18"/>
    <mergeCell ref="G18:J18"/>
    <mergeCell ref="K18:T18"/>
    <mergeCell ref="U18:AZ18"/>
    <mergeCell ref="A17:B17"/>
    <mergeCell ref="C17:F17"/>
    <mergeCell ref="G17:J17"/>
    <mergeCell ref="K17:T17"/>
    <mergeCell ref="U19:AZ19"/>
    <mergeCell ref="A20:B20"/>
    <mergeCell ref="C20:F20"/>
    <mergeCell ref="G20:J20"/>
    <mergeCell ref="K20:T20"/>
    <mergeCell ref="U20:AZ20"/>
    <mergeCell ref="A19:B19"/>
    <mergeCell ref="C19:F19"/>
    <mergeCell ref="G19:J19"/>
    <mergeCell ref="K19:T19"/>
    <mergeCell ref="U21:AZ21"/>
    <mergeCell ref="A22:B22"/>
    <mergeCell ref="C22:F22"/>
    <mergeCell ref="G22:J22"/>
    <mergeCell ref="K22:T22"/>
    <mergeCell ref="U22:AZ22"/>
    <mergeCell ref="A21:B21"/>
    <mergeCell ref="C21:F21"/>
    <mergeCell ref="G21:J21"/>
    <mergeCell ref="K21:T21"/>
    <mergeCell ref="U23:AZ23"/>
    <mergeCell ref="A24:B24"/>
    <mergeCell ref="C24:F24"/>
    <mergeCell ref="G24:J24"/>
    <mergeCell ref="K24:T24"/>
    <mergeCell ref="U24:AZ24"/>
    <mergeCell ref="A23:B23"/>
    <mergeCell ref="C23:F23"/>
    <mergeCell ref="G23:J23"/>
    <mergeCell ref="K23:T23"/>
    <mergeCell ref="U25:AZ25"/>
    <mergeCell ref="A26:B26"/>
    <mergeCell ref="C26:F26"/>
    <mergeCell ref="G26:J26"/>
    <mergeCell ref="K26:T26"/>
    <mergeCell ref="U26:AZ26"/>
    <mergeCell ref="A25:B25"/>
    <mergeCell ref="C25:F25"/>
    <mergeCell ref="G25:J25"/>
    <mergeCell ref="K25:T25"/>
    <mergeCell ref="U27:AZ27"/>
    <mergeCell ref="A28:B28"/>
    <mergeCell ref="C28:F28"/>
    <mergeCell ref="G28:J28"/>
    <mergeCell ref="K28:T28"/>
    <mergeCell ref="U28:AZ28"/>
    <mergeCell ref="A27:B27"/>
    <mergeCell ref="C27:F27"/>
    <mergeCell ref="G27:J27"/>
    <mergeCell ref="K27:T27"/>
    <mergeCell ref="U29:AZ29"/>
    <mergeCell ref="A30:B30"/>
    <mergeCell ref="C30:F30"/>
    <mergeCell ref="G30:J30"/>
    <mergeCell ref="K30:T30"/>
    <mergeCell ref="U30:AZ30"/>
    <mergeCell ref="A29:B29"/>
    <mergeCell ref="C29:F29"/>
    <mergeCell ref="G29:J29"/>
    <mergeCell ref="K29:T29"/>
    <mergeCell ref="U31:AZ31"/>
    <mergeCell ref="A32:B32"/>
    <mergeCell ref="C32:F32"/>
    <mergeCell ref="G32:J32"/>
    <mergeCell ref="K32:T32"/>
    <mergeCell ref="U32:AZ32"/>
    <mergeCell ref="A31:B31"/>
    <mergeCell ref="C31:F31"/>
    <mergeCell ref="G31:J31"/>
    <mergeCell ref="K31:T31"/>
    <mergeCell ref="U33:AZ33"/>
    <mergeCell ref="A34:B34"/>
    <mergeCell ref="C34:F34"/>
    <mergeCell ref="G34:J34"/>
    <mergeCell ref="K34:T34"/>
    <mergeCell ref="U34:AZ34"/>
    <mergeCell ref="A33:B33"/>
    <mergeCell ref="C33:F33"/>
    <mergeCell ref="G33:J33"/>
    <mergeCell ref="K33:T33"/>
    <mergeCell ref="U35:AZ35"/>
    <mergeCell ref="A36:B36"/>
    <mergeCell ref="C36:F36"/>
    <mergeCell ref="G36:J36"/>
    <mergeCell ref="K36:T36"/>
    <mergeCell ref="U36:AZ36"/>
    <mergeCell ref="A35:B35"/>
    <mergeCell ref="C35:F35"/>
    <mergeCell ref="G35:J35"/>
    <mergeCell ref="K35:T35"/>
    <mergeCell ref="U37:AZ37"/>
    <mergeCell ref="A38:B38"/>
    <mergeCell ref="C38:F38"/>
    <mergeCell ref="G38:J38"/>
    <mergeCell ref="K38:T38"/>
    <mergeCell ref="U38:AZ38"/>
    <mergeCell ref="A37:B37"/>
    <mergeCell ref="C37:F37"/>
    <mergeCell ref="G37:J37"/>
    <mergeCell ref="K37:T37"/>
    <mergeCell ref="U39:AZ39"/>
    <mergeCell ref="A40:B40"/>
    <mergeCell ref="C40:F40"/>
    <mergeCell ref="G40:J40"/>
    <mergeCell ref="K40:T40"/>
    <mergeCell ref="U40:AZ40"/>
    <mergeCell ref="A39:B39"/>
    <mergeCell ref="C39:F39"/>
    <mergeCell ref="G39:J39"/>
    <mergeCell ref="K39:T39"/>
    <mergeCell ref="U41:AZ41"/>
    <mergeCell ref="A42:B42"/>
    <mergeCell ref="C42:F42"/>
    <mergeCell ref="G42:J42"/>
    <mergeCell ref="K42:T42"/>
    <mergeCell ref="U42:AZ42"/>
    <mergeCell ref="A41:B41"/>
    <mergeCell ref="C41:F41"/>
    <mergeCell ref="G41:J41"/>
    <mergeCell ref="K41:T41"/>
    <mergeCell ref="K45:T45"/>
    <mergeCell ref="U43:AZ43"/>
    <mergeCell ref="A44:B44"/>
    <mergeCell ref="C44:F44"/>
    <mergeCell ref="G44:J44"/>
    <mergeCell ref="K44:T44"/>
    <mergeCell ref="U44:AZ44"/>
    <mergeCell ref="A43:B43"/>
    <mergeCell ref="C43:F43"/>
    <mergeCell ref="G43:J43"/>
    <mergeCell ref="K43:T43"/>
    <mergeCell ref="AQ1:AZ1"/>
    <mergeCell ref="A49:B49"/>
    <mergeCell ref="C49:F49"/>
    <mergeCell ref="G49:J49"/>
    <mergeCell ref="K49:T49"/>
    <mergeCell ref="U47:AZ47"/>
    <mergeCell ref="A48:B48"/>
    <mergeCell ref="C48:F48"/>
    <mergeCell ref="G48:J48"/>
    <mergeCell ref="K48:T48"/>
    <mergeCell ref="U48:AZ48"/>
    <mergeCell ref="A47:B47"/>
    <mergeCell ref="C47:F47"/>
    <mergeCell ref="G47:J47"/>
    <mergeCell ref="K47:T47"/>
    <mergeCell ref="U45:AZ45"/>
    <mergeCell ref="A46:B46"/>
    <mergeCell ref="C46:F46"/>
    <mergeCell ref="G46:J46"/>
    <mergeCell ref="K46:T46"/>
    <mergeCell ref="U46:AZ46"/>
    <mergeCell ref="A45:B45"/>
    <mergeCell ref="C45:F45"/>
    <mergeCell ref="G45:J45"/>
    <mergeCell ref="Y2:AB2"/>
    <mergeCell ref="AC2:AL2"/>
    <mergeCell ref="AM2:AP2"/>
    <mergeCell ref="AQ2:AZ2"/>
    <mergeCell ref="A52:B52"/>
    <mergeCell ref="A51:B51"/>
    <mergeCell ref="A50:B50"/>
    <mergeCell ref="U51:AZ51"/>
    <mergeCell ref="C52:F52"/>
    <mergeCell ref="G52:J52"/>
    <mergeCell ref="K52:T52"/>
    <mergeCell ref="U52:AZ52"/>
    <mergeCell ref="U49:AZ49"/>
    <mergeCell ref="C50:F50"/>
    <mergeCell ref="G50:J50"/>
    <mergeCell ref="K50:T50"/>
    <mergeCell ref="U50:AZ50"/>
    <mergeCell ref="C51:F51"/>
    <mergeCell ref="G51:J51"/>
    <mergeCell ref="K51:T51"/>
    <mergeCell ref="A1:X2"/>
    <mergeCell ref="Y1:AB1"/>
    <mergeCell ref="AC1:AL1"/>
    <mergeCell ref="AM1:AP1"/>
  </mergeCells>
  <phoneticPr fontId="2"/>
  <pageMargins left="0.59055118110236227" right="0.39370078740157483" top="0.59055118110236227" bottom="0.59055118110236227" header="0.39370078740157483" footer="0.39370078740157483"/>
  <pageSetup paperSize="9" orientation="landscape" horizontalDpi="4294967294" verticalDpi="0" r:id="rId1"/>
  <headerFooter alignWithMargins="0">
    <oddFooter>&amp;C&amp;8- &amp;P-1 -&amp;R&amp;"明朝,標準"&amp;8Copyright © 2007 sample Corporation. All Rights Reserved.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52"/>
  <sheetViews>
    <sheetView workbookViewId="0">
      <selection activeCell="AC58" sqref="AC58"/>
    </sheetView>
  </sheetViews>
  <sheetFormatPr defaultColWidth="2.625" defaultRowHeight="10.5"/>
  <cols>
    <col min="1" max="16384" width="2.625" style="1"/>
  </cols>
  <sheetData>
    <row r="1" spans="1:52" ht="11.25" thickTop="1">
      <c r="A1" s="77" t="s">
        <v>5</v>
      </c>
      <c r="B1" s="78"/>
      <c r="C1" s="78"/>
      <c r="D1" s="78"/>
      <c r="E1" s="78"/>
      <c r="F1" s="78"/>
      <c r="G1" s="78"/>
      <c r="H1" s="78"/>
      <c r="I1" s="78"/>
      <c r="J1" s="79"/>
      <c r="K1" s="75" t="s">
        <v>3</v>
      </c>
      <c r="L1" s="75"/>
      <c r="M1" s="75"/>
      <c r="N1" s="75"/>
      <c r="O1" s="83" t="str">
        <f>IF(ISBLANK(表紙!AL43),"",(表紙!AL43))</f>
        <v>画面名</v>
      </c>
      <c r="P1" s="83"/>
      <c r="Q1" s="83"/>
      <c r="R1" s="83"/>
      <c r="S1" s="83"/>
      <c r="T1" s="83"/>
      <c r="U1" s="83"/>
      <c r="V1" s="83"/>
      <c r="W1" s="83"/>
      <c r="X1" s="83"/>
      <c r="Y1" s="75" t="s">
        <v>6</v>
      </c>
      <c r="Z1" s="75"/>
      <c r="AA1" s="75"/>
      <c r="AB1" s="75"/>
      <c r="AC1" s="89" t="str">
        <f>IF(ISBLANK(表紙!AL39),"",(表紙!AL39))</f>
        <v>saitama_ict_practice_project</v>
      </c>
      <c r="AD1" s="89"/>
      <c r="AE1" s="89"/>
      <c r="AF1" s="89"/>
      <c r="AG1" s="89"/>
      <c r="AH1" s="89"/>
      <c r="AI1" s="89"/>
      <c r="AJ1" s="89"/>
      <c r="AK1" s="89"/>
      <c r="AL1" s="89"/>
      <c r="AM1" s="75" t="s">
        <v>1</v>
      </c>
      <c r="AN1" s="75"/>
      <c r="AO1" s="75"/>
      <c r="AP1" s="75"/>
      <c r="AQ1" s="85">
        <f>IF(ISBLANK(表紙!AL47),"",(表紙!AL47))</f>
        <v>43696</v>
      </c>
      <c r="AR1" s="85"/>
      <c r="AS1" s="85"/>
      <c r="AT1" s="85"/>
      <c r="AU1" s="85"/>
      <c r="AV1" s="85"/>
      <c r="AW1" s="85"/>
      <c r="AX1" s="85"/>
      <c r="AY1" s="85"/>
      <c r="AZ1" s="86"/>
    </row>
    <row r="2" spans="1:52" ht="11.25" thickBot="1">
      <c r="A2" s="80"/>
      <c r="B2" s="81"/>
      <c r="C2" s="81"/>
      <c r="D2" s="81"/>
      <c r="E2" s="81"/>
      <c r="F2" s="81"/>
      <c r="G2" s="81"/>
      <c r="H2" s="81"/>
      <c r="I2" s="81"/>
      <c r="J2" s="82"/>
      <c r="K2" s="76" t="s">
        <v>4</v>
      </c>
      <c r="L2" s="76"/>
      <c r="M2" s="76"/>
      <c r="N2" s="76"/>
      <c r="O2" s="84" t="str">
        <f>IF(ISBLANK(表紙!AL45),"",(表紙!AL45))</f>
        <v>プログラムの時に記載する識別名（機能の英名先頭３文字+01）</v>
      </c>
      <c r="P2" s="84"/>
      <c r="Q2" s="84"/>
      <c r="R2" s="84"/>
      <c r="S2" s="84"/>
      <c r="T2" s="84"/>
      <c r="U2" s="84"/>
      <c r="V2" s="84"/>
      <c r="W2" s="84"/>
      <c r="X2" s="84"/>
      <c r="Y2" s="76" t="s">
        <v>0</v>
      </c>
      <c r="Z2" s="76"/>
      <c r="AA2" s="76"/>
      <c r="AB2" s="76"/>
      <c r="AC2" s="90" t="str">
        <f>IF(ISBLANK(表紙!AL41),"",(表紙!AL41))</f>
        <v>【訓練生用】Webアプリ開発</v>
      </c>
      <c r="AD2" s="90"/>
      <c r="AE2" s="90"/>
      <c r="AF2" s="90"/>
      <c r="AG2" s="90"/>
      <c r="AH2" s="90"/>
      <c r="AI2" s="90"/>
      <c r="AJ2" s="90"/>
      <c r="AK2" s="90"/>
      <c r="AL2" s="90"/>
      <c r="AM2" s="76" t="s">
        <v>27</v>
      </c>
      <c r="AN2" s="76"/>
      <c r="AO2" s="76"/>
      <c r="AP2" s="76"/>
      <c r="AQ2" s="87" t="str">
        <f>IF(ISBLANK(表紙!AL49),"",(表紙!AL49))</f>
        <v/>
      </c>
      <c r="AR2" s="87"/>
      <c r="AS2" s="87"/>
      <c r="AT2" s="87"/>
      <c r="AU2" s="87"/>
      <c r="AV2" s="87"/>
      <c r="AW2" s="87"/>
      <c r="AX2" s="87"/>
      <c r="AY2" s="87"/>
      <c r="AZ2" s="88"/>
    </row>
    <row r="3" spans="1:52" ht="11.25" thickTop="1">
      <c r="B3" s="2"/>
    </row>
    <row r="4" spans="1:52">
      <c r="A4" s="15" t="s">
        <v>10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7"/>
    </row>
    <row r="5" spans="1:52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5"/>
    </row>
    <row r="6" spans="1:52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8"/>
    </row>
    <row r="7" spans="1:52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8"/>
    </row>
    <row r="8" spans="1:52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8"/>
    </row>
    <row r="9" spans="1:52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8"/>
    </row>
    <row r="10" spans="1:52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8"/>
    </row>
    <row r="11" spans="1:52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8"/>
    </row>
    <row r="12" spans="1:52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8"/>
    </row>
    <row r="13" spans="1:52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8"/>
    </row>
    <row r="14" spans="1:52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8"/>
    </row>
    <row r="15" spans="1:52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8"/>
    </row>
    <row r="16" spans="1:52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8"/>
    </row>
    <row r="17" spans="1:52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8"/>
    </row>
    <row r="18" spans="1:52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8"/>
    </row>
    <row r="19" spans="1:52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8"/>
    </row>
    <row r="20" spans="1:52">
      <c r="A20" s="20" t="s">
        <v>12</v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2"/>
    </row>
    <row r="21" spans="1:52">
      <c r="A21" s="19" t="s">
        <v>8</v>
      </c>
      <c r="B21" s="105" t="s">
        <v>3</v>
      </c>
      <c r="C21" s="106"/>
      <c r="D21" s="106"/>
      <c r="E21" s="106"/>
      <c r="F21" s="106"/>
      <c r="G21" s="106"/>
      <c r="H21" s="106"/>
      <c r="I21" s="106"/>
      <c r="J21" s="106"/>
      <c r="K21" s="107"/>
      <c r="L21" s="105" t="s">
        <v>4</v>
      </c>
      <c r="M21" s="106"/>
      <c r="N21" s="106"/>
      <c r="O21" s="106"/>
      <c r="P21" s="106"/>
      <c r="Q21" s="106"/>
      <c r="R21" s="106"/>
      <c r="S21" s="106"/>
      <c r="T21" s="106"/>
      <c r="U21" s="107"/>
      <c r="V21" s="105" t="s">
        <v>9</v>
      </c>
      <c r="W21" s="107"/>
      <c r="X21" s="105" t="s">
        <v>2</v>
      </c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7"/>
    </row>
    <row r="22" spans="1:52">
      <c r="A22" s="14">
        <f>ROW()-21</f>
        <v>1</v>
      </c>
      <c r="B22" s="102"/>
      <c r="C22" s="103"/>
      <c r="D22" s="103"/>
      <c r="E22" s="103"/>
      <c r="F22" s="103"/>
      <c r="G22" s="103"/>
      <c r="H22" s="103"/>
      <c r="I22" s="103"/>
      <c r="J22" s="103"/>
      <c r="K22" s="104"/>
      <c r="L22" s="102"/>
      <c r="M22" s="103"/>
      <c r="N22" s="103"/>
      <c r="O22" s="103"/>
      <c r="P22" s="103"/>
      <c r="Q22" s="103"/>
      <c r="R22" s="103"/>
      <c r="S22" s="103"/>
      <c r="T22" s="103"/>
      <c r="U22" s="104"/>
      <c r="V22" s="100"/>
      <c r="W22" s="101"/>
      <c r="X22" s="102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4"/>
    </row>
    <row r="23" spans="1:52">
      <c r="A23" s="14">
        <f t="shared" ref="A23:A30" si="0">ROW()-21</f>
        <v>2</v>
      </c>
      <c r="B23" s="102"/>
      <c r="C23" s="103"/>
      <c r="D23" s="103"/>
      <c r="E23" s="103"/>
      <c r="F23" s="103"/>
      <c r="G23" s="103"/>
      <c r="H23" s="103"/>
      <c r="I23" s="103"/>
      <c r="J23" s="103"/>
      <c r="K23" s="104"/>
      <c r="L23" s="102"/>
      <c r="M23" s="103"/>
      <c r="N23" s="103"/>
      <c r="O23" s="103"/>
      <c r="P23" s="103"/>
      <c r="Q23" s="103"/>
      <c r="R23" s="103"/>
      <c r="S23" s="103"/>
      <c r="T23" s="103"/>
      <c r="U23" s="104"/>
      <c r="V23" s="100"/>
      <c r="W23" s="101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4"/>
    </row>
    <row r="24" spans="1:52">
      <c r="A24" s="14">
        <f t="shared" si="0"/>
        <v>3</v>
      </c>
      <c r="B24" s="102"/>
      <c r="C24" s="103"/>
      <c r="D24" s="103"/>
      <c r="E24" s="103"/>
      <c r="F24" s="103"/>
      <c r="G24" s="103"/>
      <c r="H24" s="103"/>
      <c r="I24" s="103"/>
      <c r="J24" s="103"/>
      <c r="K24" s="104"/>
      <c r="L24" s="102"/>
      <c r="M24" s="103"/>
      <c r="N24" s="103"/>
      <c r="O24" s="103"/>
      <c r="P24" s="103"/>
      <c r="Q24" s="103"/>
      <c r="R24" s="103"/>
      <c r="S24" s="103"/>
      <c r="T24" s="103"/>
      <c r="U24" s="104"/>
      <c r="V24" s="100"/>
      <c r="W24" s="101"/>
      <c r="X24" s="102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4"/>
    </row>
    <row r="25" spans="1:52">
      <c r="A25" s="14">
        <f t="shared" si="0"/>
        <v>4</v>
      </c>
      <c r="B25" s="102"/>
      <c r="C25" s="103"/>
      <c r="D25" s="103"/>
      <c r="E25" s="103"/>
      <c r="F25" s="103"/>
      <c r="G25" s="103"/>
      <c r="H25" s="103"/>
      <c r="I25" s="103"/>
      <c r="J25" s="103"/>
      <c r="K25" s="104"/>
      <c r="L25" s="102"/>
      <c r="M25" s="103"/>
      <c r="N25" s="103"/>
      <c r="O25" s="103"/>
      <c r="P25" s="103"/>
      <c r="Q25" s="103"/>
      <c r="R25" s="103"/>
      <c r="S25" s="103"/>
      <c r="T25" s="103"/>
      <c r="U25" s="104"/>
      <c r="V25" s="100"/>
      <c r="W25" s="101"/>
      <c r="X25" s="102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4"/>
    </row>
    <row r="26" spans="1:52">
      <c r="A26" s="14">
        <f t="shared" si="0"/>
        <v>5</v>
      </c>
      <c r="B26" s="102"/>
      <c r="C26" s="103"/>
      <c r="D26" s="103"/>
      <c r="E26" s="103"/>
      <c r="F26" s="103"/>
      <c r="G26" s="103"/>
      <c r="H26" s="103"/>
      <c r="I26" s="103"/>
      <c r="J26" s="103"/>
      <c r="K26" s="104"/>
      <c r="L26" s="102"/>
      <c r="M26" s="103"/>
      <c r="N26" s="103"/>
      <c r="O26" s="103"/>
      <c r="P26" s="103"/>
      <c r="Q26" s="103"/>
      <c r="R26" s="103"/>
      <c r="S26" s="103"/>
      <c r="T26" s="103"/>
      <c r="U26" s="104"/>
      <c r="V26" s="100"/>
      <c r="W26" s="101"/>
      <c r="X26" s="102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4"/>
    </row>
    <row r="27" spans="1:52">
      <c r="A27" s="14">
        <f t="shared" si="0"/>
        <v>6</v>
      </c>
      <c r="B27" s="102"/>
      <c r="C27" s="103"/>
      <c r="D27" s="103"/>
      <c r="E27" s="103"/>
      <c r="F27" s="103"/>
      <c r="G27" s="103"/>
      <c r="H27" s="103"/>
      <c r="I27" s="103"/>
      <c r="J27" s="103"/>
      <c r="K27" s="104"/>
      <c r="L27" s="102"/>
      <c r="M27" s="103"/>
      <c r="N27" s="103"/>
      <c r="O27" s="103"/>
      <c r="P27" s="103"/>
      <c r="Q27" s="103"/>
      <c r="R27" s="103"/>
      <c r="S27" s="103"/>
      <c r="T27" s="103"/>
      <c r="U27" s="104"/>
      <c r="V27" s="100"/>
      <c r="W27" s="101"/>
      <c r="X27" s="102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4"/>
    </row>
    <row r="28" spans="1:52">
      <c r="A28" s="14">
        <f t="shared" si="0"/>
        <v>7</v>
      </c>
      <c r="B28" s="102"/>
      <c r="C28" s="103"/>
      <c r="D28" s="103"/>
      <c r="E28" s="103"/>
      <c r="F28" s="103"/>
      <c r="G28" s="103"/>
      <c r="H28" s="103"/>
      <c r="I28" s="103"/>
      <c r="J28" s="103"/>
      <c r="K28" s="104"/>
      <c r="L28" s="102"/>
      <c r="M28" s="103"/>
      <c r="N28" s="103"/>
      <c r="O28" s="103"/>
      <c r="P28" s="103"/>
      <c r="Q28" s="103"/>
      <c r="R28" s="103"/>
      <c r="S28" s="103"/>
      <c r="T28" s="103"/>
      <c r="U28" s="104"/>
      <c r="V28" s="100"/>
      <c r="W28" s="101"/>
      <c r="X28" s="102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4"/>
    </row>
    <row r="29" spans="1:52">
      <c r="A29" s="14">
        <f t="shared" si="0"/>
        <v>8</v>
      </c>
      <c r="B29" s="102"/>
      <c r="C29" s="103"/>
      <c r="D29" s="103"/>
      <c r="E29" s="103"/>
      <c r="F29" s="103"/>
      <c r="G29" s="103"/>
      <c r="H29" s="103"/>
      <c r="I29" s="103"/>
      <c r="J29" s="103"/>
      <c r="K29" s="104"/>
      <c r="L29" s="102"/>
      <c r="M29" s="103"/>
      <c r="N29" s="103"/>
      <c r="O29" s="103"/>
      <c r="P29" s="103"/>
      <c r="Q29" s="103"/>
      <c r="R29" s="103"/>
      <c r="S29" s="103"/>
      <c r="T29" s="103"/>
      <c r="U29" s="104"/>
      <c r="V29" s="100"/>
      <c r="W29" s="101"/>
      <c r="X29" s="102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4"/>
    </row>
    <row r="30" spans="1:52">
      <c r="A30" s="14">
        <f t="shared" si="0"/>
        <v>9</v>
      </c>
      <c r="B30" s="102"/>
      <c r="C30" s="103"/>
      <c r="D30" s="103"/>
      <c r="E30" s="103"/>
      <c r="F30" s="103"/>
      <c r="G30" s="103"/>
      <c r="H30" s="103"/>
      <c r="I30" s="103"/>
      <c r="J30" s="103"/>
      <c r="K30" s="104"/>
      <c r="L30" s="102"/>
      <c r="M30" s="103"/>
      <c r="N30" s="103"/>
      <c r="O30" s="103"/>
      <c r="P30" s="103"/>
      <c r="Q30" s="103"/>
      <c r="R30" s="103"/>
      <c r="S30" s="103"/>
      <c r="T30" s="103"/>
      <c r="U30" s="104"/>
      <c r="V30" s="100"/>
      <c r="W30" s="101"/>
      <c r="X30" s="102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4"/>
    </row>
    <row r="31" spans="1:52">
      <c r="A31" s="20" t="s">
        <v>7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2"/>
    </row>
    <row r="32" spans="1:52">
      <c r="A32" s="19" t="s">
        <v>8</v>
      </c>
      <c r="B32" s="105" t="s">
        <v>3</v>
      </c>
      <c r="C32" s="106"/>
      <c r="D32" s="106"/>
      <c r="E32" s="106"/>
      <c r="F32" s="106"/>
      <c r="G32" s="106"/>
      <c r="H32" s="106"/>
      <c r="I32" s="106"/>
      <c r="J32" s="106"/>
      <c r="K32" s="107"/>
      <c r="L32" s="105" t="s">
        <v>4</v>
      </c>
      <c r="M32" s="106"/>
      <c r="N32" s="106"/>
      <c r="O32" s="106"/>
      <c r="P32" s="106"/>
      <c r="Q32" s="106"/>
      <c r="R32" s="106"/>
      <c r="S32" s="106"/>
      <c r="T32" s="106"/>
      <c r="U32" s="107"/>
      <c r="V32" s="105" t="s">
        <v>9</v>
      </c>
      <c r="W32" s="107"/>
      <c r="X32" s="105" t="s">
        <v>2</v>
      </c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Y32" s="106"/>
      <c r="AZ32" s="107"/>
    </row>
    <row r="33" spans="1:52">
      <c r="A33" s="14">
        <f>ROW()-32</f>
        <v>1</v>
      </c>
      <c r="B33" s="102"/>
      <c r="C33" s="103"/>
      <c r="D33" s="103"/>
      <c r="E33" s="103"/>
      <c r="F33" s="103"/>
      <c r="G33" s="103"/>
      <c r="H33" s="103"/>
      <c r="I33" s="103"/>
      <c r="J33" s="103"/>
      <c r="K33" s="104"/>
      <c r="L33" s="102"/>
      <c r="M33" s="103"/>
      <c r="N33" s="103"/>
      <c r="O33" s="103"/>
      <c r="P33" s="103"/>
      <c r="Q33" s="103"/>
      <c r="R33" s="103"/>
      <c r="S33" s="103"/>
      <c r="T33" s="103"/>
      <c r="U33" s="104"/>
      <c r="V33" s="100"/>
      <c r="W33" s="101"/>
      <c r="X33" s="102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4"/>
    </row>
    <row r="34" spans="1:52">
      <c r="A34" s="14">
        <f t="shared" ref="A34:A41" si="1">ROW()-32</f>
        <v>2</v>
      </c>
      <c r="B34" s="102"/>
      <c r="C34" s="103"/>
      <c r="D34" s="103"/>
      <c r="E34" s="103"/>
      <c r="F34" s="103"/>
      <c r="G34" s="103"/>
      <c r="H34" s="103"/>
      <c r="I34" s="103"/>
      <c r="J34" s="103"/>
      <c r="K34" s="104"/>
      <c r="L34" s="102"/>
      <c r="M34" s="103"/>
      <c r="N34" s="103"/>
      <c r="O34" s="103"/>
      <c r="P34" s="103"/>
      <c r="Q34" s="103"/>
      <c r="R34" s="103"/>
      <c r="S34" s="103"/>
      <c r="T34" s="103"/>
      <c r="U34" s="104"/>
      <c r="V34" s="100"/>
      <c r="W34" s="101"/>
      <c r="X34" s="102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4"/>
    </row>
    <row r="35" spans="1:52">
      <c r="A35" s="14">
        <f t="shared" si="1"/>
        <v>3</v>
      </c>
      <c r="B35" s="102"/>
      <c r="C35" s="103"/>
      <c r="D35" s="103"/>
      <c r="E35" s="103"/>
      <c r="F35" s="103"/>
      <c r="G35" s="103"/>
      <c r="H35" s="103"/>
      <c r="I35" s="103"/>
      <c r="J35" s="103"/>
      <c r="K35" s="104"/>
      <c r="L35" s="102"/>
      <c r="M35" s="103"/>
      <c r="N35" s="103"/>
      <c r="O35" s="103"/>
      <c r="P35" s="103"/>
      <c r="Q35" s="103"/>
      <c r="R35" s="103"/>
      <c r="S35" s="103"/>
      <c r="T35" s="103"/>
      <c r="U35" s="104"/>
      <c r="V35" s="100"/>
      <c r="W35" s="101"/>
      <c r="X35" s="102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4"/>
    </row>
    <row r="36" spans="1:52">
      <c r="A36" s="14">
        <f t="shared" si="1"/>
        <v>4</v>
      </c>
      <c r="B36" s="102"/>
      <c r="C36" s="103"/>
      <c r="D36" s="103"/>
      <c r="E36" s="103"/>
      <c r="F36" s="103"/>
      <c r="G36" s="103"/>
      <c r="H36" s="103"/>
      <c r="I36" s="103"/>
      <c r="J36" s="103"/>
      <c r="K36" s="104"/>
      <c r="L36" s="102"/>
      <c r="M36" s="103"/>
      <c r="N36" s="103"/>
      <c r="O36" s="103"/>
      <c r="P36" s="103"/>
      <c r="Q36" s="103"/>
      <c r="R36" s="103"/>
      <c r="S36" s="103"/>
      <c r="T36" s="103"/>
      <c r="U36" s="104"/>
      <c r="V36" s="100"/>
      <c r="W36" s="101"/>
      <c r="X36" s="102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3"/>
      <c r="AV36" s="103"/>
      <c r="AW36" s="103"/>
      <c r="AX36" s="103"/>
      <c r="AY36" s="103"/>
      <c r="AZ36" s="104"/>
    </row>
    <row r="37" spans="1:52">
      <c r="A37" s="14">
        <f t="shared" si="1"/>
        <v>5</v>
      </c>
      <c r="B37" s="102"/>
      <c r="C37" s="103"/>
      <c r="D37" s="103"/>
      <c r="E37" s="103"/>
      <c r="F37" s="103"/>
      <c r="G37" s="103"/>
      <c r="H37" s="103"/>
      <c r="I37" s="103"/>
      <c r="J37" s="103"/>
      <c r="K37" s="104"/>
      <c r="L37" s="102"/>
      <c r="M37" s="103"/>
      <c r="N37" s="103"/>
      <c r="O37" s="103"/>
      <c r="P37" s="103"/>
      <c r="Q37" s="103"/>
      <c r="R37" s="103"/>
      <c r="S37" s="103"/>
      <c r="T37" s="103"/>
      <c r="U37" s="104"/>
      <c r="V37" s="100"/>
      <c r="W37" s="101"/>
      <c r="X37" s="102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3"/>
      <c r="AZ37" s="104"/>
    </row>
    <row r="38" spans="1:52">
      <c r="A38" s="14">
        <f t="shared" si="1"/>
        <v>6</v>
      </c>
      <c r="B38" s="102"/>
      <c r="C38" s="103"/>
      <c r="D38" s="103"/>
      <c r="E38" s="103"/>
      <c r="F38" s="103"/>
      <c r="G38" s="103"/>
      <c r="H38" s="103"/>
      <c r="I38" s="103"/>
      <c r="J38" s="103"/>
      <c r="K38" s="104"/>
      <c r="L38" s="102"/>
      <c r="M38" s="103"/>
      <c r="N38" s="103"/>
      <c r="O38" s="103"/>
      <c r="P38" s="103"/>
      <c r="Q38" s="103"/>
      <c r="R38" s="103"/>
      <c r="S38" s="103"/>
      <c r="T38" s="103"/>
      <c r="U38" s="104"/>
      <c r="V38" s="100"/>
      <c r="W38" s="101"/>
      <c r="X38" s="102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  <c r="AZ38" s="104"/>
    </row>
    <row r="39" spans="1:52">
      <c r="A39" s="14">
        <f t="shared" si="1"/>
        <v>7</v>
      </c>
      <c r="B39" s="102"/>
      <c r="C39" s="103"/>
      <c r="D39" s="103"/>
      <c r="E39" s="103"/>
      <c r="F39" s="103"/>
      <c r="G39" s="103"/>
      <c r="H39" s="103"/>
      <c r="I39" s="103"/>
      <c r="J39" s="103"/>
      <c r="K39" s="104"/>
      <c r="L39" s="102"/>
      <c r="M39" s="103"/>
      <c r="N39" s="103"/>
      <c r="O39" s="103"/>
      <c r="P39" s="103"/>
      <c r="Q39" s="103"/>
      <c r="R39" s="103"/>
      <c r="S39" s="103"/>
      <c r="T39" s="103"/>
      <c r="U39" s="104"/>
      <c r="V39" s="100"/>
      <c r="W39" s="101"/>
      <c r="X39" s="102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  <c r="AZ39" s="104"/>
    </row>
    <row r="40" spans="1:52">
      <c r="A40" s="14">
        <f t="shared" si="1"/>
        <v>8</v>
      </c>
      <c r="B40" s="102"/>
      <c r="C40" s="103"/>
      <c r="D40" s="103"/>
      <c r="E40" s="103"/>
      <c r="F40" s="103"/>
      <c r="G40" s="103"/>
      <c r="H40" s="103"/>
      <c r="I40" s="103"/>
      <c r="J40" s="103"/>
      <c r="K40" s="104"/>
      <c r="L40" s="102"/>
      <c r="M40" s="103"/>
      <c r="N40" s="103"/>
      <c r="O40" s="103"/>
      <c r="P40" s="103"/>
      <c r="Q40" s="103"/>
      <c r="R40" s="103"/>
      <c r="S40" s="103"/>
      <c r="T40" s="103"/>
      <c r="U40" s="104"/>
      <c r="V40" s="100"/>
      <c r="W40" s="101"/>
      <c r="X40" s="102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4"/>
    </row>
    <row r="41" spans="1:52">
      <c r="A41" s="14">
        <f t="shared" si="1"/>
        <v>9</v>
      </c>
      <c r="B41" s="102"/>
      <c r="C41" s="103"/>
      <c r="D41" s="103"/>
      <c r="E41" s="103"/>
      <c r="F41" s="103"/>
      <c r="G41" s="103"/>
      <c r="H41" s="103"/>
      <c r="I41" s="103"/>
      <c r="J41" s="103"/>
      <c r="K41" s="104"/>
      <c r="L41" s="102"/>
      <c r="M41" s="103"/>
      <c r="N41" s="103"/>
      <c r="O41" s="103"/>
      <c r="P41" s="103"/>
      <c r="Q41" s="103"/>
      <c r="R41" s="103"/>
      <c r="S41" s="103"/>
      <c r="T41" s="103"/>
      <c r="U41" s="104"/>
      <c r="V41" s="100"/>
      <c r="W41" s="101"/>
      <c r="X41" s="102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  <c r="AZ41" s="104"/>
    </row>
    <row r="42" spans="1:52">
      <c r="A42" s="20" t="s">
        <v>11</v>
      </c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2"/>
    </row>
    <row r="43" spans="1:52">
      <c r="A43" s="19" t="s">
        <v>8</v>
      </c>
      <c r="B43" s="105" t="s">
        <v>3</v>
      </c>
      <c r="C43" s="106"/>
      <c r="D43" s="106"/>
      <c r="E43" s="106"/>
      <c r="F43" s="106"/>
      <c r="G43" s="106"/>
      <c r="H43" s="106"/>
      <c r="I43" s="106"/>
      <c r="J43" s="106"/>
      <c r="K43" s="107"/>
      <c r="L43" s="105" t="s">
        <v>4</v>
      </c>
      <c r="M43" s="106"/>
      <c r="N43" s="106"/>
      <c r="O43" s="106"/>
      <c r="P43" s="106"/>
      <c r="Q43" s="106"/>
      <c r="R43" s="106"/>
      <c r="S43" s="106"/>
      <c r="T43" s="106"/>
      <c r="U43" s="107"/>
      <c r="V43" s="105" t="s">
        <v>9</v>
      </c>
      <c r="W43" s="107"/>
      <c r="X43" s="105" t="s">
        <v>2</v>
      </c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  <c r="AZ43" s="107"/>
    </row>
    <row r="44" spans="1:52">
      <c r="A44" s="14">
        <f>ROW()-43</f>
        <v>1</v>
      </c>
      <c r="B44" s="102"/>
      <c r="C44" s="103"/>
      <c r="D44" s="103"/>
      <c r="E44" s="103"/>
      <c r="F44" s="103"/>
      <c r="G44" s="103"/>
      <c r="H44" s="103"/>
      <c r="I44" s="103"/>
      <c r="J44" s="103"/>
      <c r="K44" s="104"/>
      <c r="L44" s="102"/>
      <c r="M44" s="103"/>
      <c r="N44" s="103"/>
      <c r="O44" s="103"/>
      <c r="P44" s="103"/>
      <c r="Q44" s="103"/>
      <c r="R44" s="103"/>
      <c r="S44" s="103"/>
      <c r="T44" s="103"/>
      <c r="U44" s="104"/>
      <c r="V44" s="100"/>
      <c r="W44" s="101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4"/>
    </row>
    <row r="45" spans="1:52">
      <c r="A45" s="14">
        <f t="shared" ref="A45:A52" si="2">ROW()-43</f>
        <v>2</v>
      </c>
      <c r="B45" s="102"/>
      <c r="C45" s="103"/>
      <c r="D45" s="103"/>
      <c r="E45" s="103"/>
      <c r="F45" s="103"/>
      <c r="G45" s="103"/>
      <c r="H45" s="103"/>
      <c r="I45" s="103"/>
      <c r="J45" s="103"/>
      <c r="K45" s="104"/>
      <c r="L45" s="102"/>
      <c r="M45" s="103"/>
      <c r="N45" s="103"/>
      <c r="O45" s="103"/>
      <c r="P45" s="103"/>
      <c r="Q45" s="103"/>
      <c r="R45" s="103"/>
      <c r="S45" s="103"/>
      <c r="T45" s="103"/>
      <c r="U45" s="104"/>
      <c r="V45" s="100"/>
      <c r="W45" s="101"/>
      <c r="X45" s="102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4"/>
    </row>
    <row r="46" spans="1:52">
      <c r="A46" s="14">
        <f t="shared" si="2"/>
        <v>3</v>
      </c>
      <c r="B46" s="102"/>
      <c r="C46" s="103"/>
      <c r="D46" s="103"/>
      <c r="E46" s="103"/>
      <c r="F46" s="103"/>
      <c r="G46" s="103"/>
      <c r="H46" s="103"/>
      <c r="I46" s="103"/>
      <c r="J46" s="103"/>
      <c r="K46" s="104"/>
      <c r="L46" s="102"/>
      <c r="M46" s="103"/>
      <c r="N46" s="103"/>
      <c r="O46" s="103"/>
      <c r="P46" s="103"/>
      <c r="Q46" s="103"/>
      <c r="R46" s="103"/>
      <c r="S46" s="103"/>
      <c r="T46" s="103"/>
      <c r="U46" s="104"/>
      <c r="V46" s="100"/>
      <c r="W46" s="101"/>
      <c r="X46" s="102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  <c r="AI46" s="103"/>
      <c r="AJ46" s="103"/>
      <c r="AK46" s="103"/>
      <c r="AL46" s="103"/>
      <c r="AM46" s="103"/>
      <c r="AN46" s="103"/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4"/>
    </row>
    <row r="47" spans="1:52">
      <c r="A47" s="14">
        <f t="shared" si="2"/>
        <v>4</v>
      </c>
      <c r="B47" s="102"/>
      <c r="C47" s="103"/>
      <c r="D47" s="103"/>
      <c r="E47" s="103"/>
      <c r="F47" s="103"/>
      <c r="G47" s="103"/>
      <c r="H47" s="103"/>
      <c r="I47" s="103"/>
      <c r="J47" s="103"/>
      <c r="K47" s="104"/>
      <c r="L47" s="102"/>
      <c r="M47" s="103"/>
      <c r="N47" s="103"/>
      <c r="O47" s="103"/>
      <c r="P47" s="103"/>
      <c r="Q47" s="103"/>
      <c r="R47" s="103"/>
      <c r="S47" s="103"/>
      <c r="T47" s="103"/>
      <c r="U47" s="104"/>
      <c r="V47" s="100"/>
      <c r="W47" s="101"/>
      <c r="X47" s="102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103"/>
      <c r="AM47" s="103"/>
      <c r="AN47" s="103"/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4"/>
    </row>
    <row r="48" spans="1:52">
      <c r="A48" s="14">
        <f t="shared" si="2"/>
        <v>5</v>
      </c>
      <c r="B48" s="102"/>
      <c r="C48" s="103"/>
      <c r="D48" s="103"/>
      <c r="E48" s="103"/>
      <c r="F48" s="103"/>
      <c r="G48" s="103"/>
      <c r="H48" s="103"/>
      <c r="I48" s="103"/>
      <c r="J48" s="103"/>
      <c r="K48" s="104"/>
      <c r="L48" s="102"/>
      <c r="M48" s="103"/>
      <c r="N48" s="103"/>
      <c r="O48" s="103"/>
      <c r="P48" s="103"/>
      <c r="Q48" s="103"/>
      <c r="R48" s="103"/>
      <c r="S48" s="103"/>
      <c r="T48" s="103"/>
      <c r="U48" s="104"/>
      <c r="V48" s="100"/>
      <c r="W48" s="101"/>
      <c r="X48" s="102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4"/>
    </row>
    <row r="49" spans="1:52">
      <c r="A49" s="14">
        <f t="shared" si="2"/>
        <v>6</v>
      </c>
      <c r="B49" s="102"/>
      <c r="C49" s="103"/>
      <c r="D49" s="103"/>
      <c r="E49" s="103"/>
      <c r="F49" s="103"/>
      <c r="G49" s="103"/>
      <c r="H49" s="103"/>
      <c r="I49" s="103"/>
      <c r="J49" s="103"/>
      <c r="K49" s="104"/>
      <c r="L49" s="102"/>
      <c r="M49" s="103"/>
      <c r="N49" s="103"/>
      <c r="O49" s="103"/>
      <c r="P49" s="103"/>
      <c r="Q49" s="103"/>
      <c r="R49" s="103"/>
      <c r="S49" s="103"/>
      <c r="T49" s="103"/>
      <c r="U49" s="104"/>
      <c r="V49" s="100"/>
      <c r="W49" s="101"/>
      <c r="X49" s="102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4"/>
    </row>
    <row r="50" spans="1:52">
      <c r="A50" s="14">
        <f t="shared" si="2"/>
        <v>7</v>
      </c>
      <c r="B50" s="102"/>
      <c r="C50" s="103"/>
      <c r="D50" s="103"/>
      <c r="E50" s="103"/>
      <c r="F50" s="103"/>
      <c r="G50" s="103"/>
      <c r="H50" s="103"/>
      <c r="I50" s="103"/>
      <c r="J50" s="103"/>
      <c r="K50" s="104"/>
      <c r="L50" s="102"/>
      <c r="M50" s="103"/>
      <c r="N50" s="103"/>
      <c r="O50" s="103"/>
      <c r="P50" s="103"/>
      <c r="Q50" s="103"/>
      <c r="R50" s="103"/>
      <c r="S50" s="103"/>
      <c r="T50" s="103"/>
      <c r="U50" s="104"/>
      <c r="V50" s="100"/>
      <c r="W50" s="101"/>
      <c r="X50" s="102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4"/>
    </row>
    <row r="51" spans="1:52">
      <c r="A51" s="14">
        <f t="shared" si="2"/>
        <v>8</v>
      </c>
      <c r="B51" s="102"/>
      <c r="C51" s="103"/>
      <c r="D51" s="103"/>
      <c r="E51" s="103"/>
      <c r="F51" s="103"/>
      <c r="G51" s="103"/>
      <c r="H51" s="103"/>
      <c r="I51" s="103"/>
      <c r="J51" s="103"/>
      <c r="K51" s="104"/>
      <c r="L51" s="102"/>
      <c r="M51" s="103"/>
      <c r="N51" s="103"/>
      <c r="O51" s="103"/>
      <c r="P51" s="103"/>
      <c r="Q51" s="103"/>
      <c r="R51" s="103"/>
      <c r="S51" s="103"/>
      <c r="T51" s="103"/>
      <c r="U51" s="104"/>
      <c r="V51" s="100"/>
      <c r="W51" s="101"/>
      <c r="X51" s="102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  <c r="AK51" s="103"/>
      <c r="AL51" s="103"/>
      <c r="AM51" s="103"/>
      <c r="AN51" s="103"/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4"/>
    </row>
    <row r="52" spans="1:52">
      <c r="A52" s="14">
        <f t="shared" si="2"/>
        <v>9</v>
      </c>
      <c r="B52" s="102"/>
      <c r="C52" s="103"/>
      <c r="D52" s="103"/>
      <c r="E52" s="103"/>
      <c r="F52" s="103"/>
      <c r="G52" s="103"/>
      <c r="H52" s="103"/>
      <c r="I52" s="103"/>
      <c r="J52" s="103"/>
      <c r="K52" s="104"/>
      <c r="L52" s="102"/>
      <c r="M52" s="103"/>
      <c r="N52" s="103"/>
      <c r="O52" s="103"/>
      <c r="P52" s="103"/>
      <c r="Q52" s="103"/>
      <c r="R52" s="103"/>
      <c r="S52" s="103"/>
      <c r="T52" s="103"/>
      <c r="U52" s="104"/>
      <c r="V52" s="100"/>
      <c r="W52" s="101"/>
      <c r="X52" s="102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4"/>
    </row>
  </sheetData>
  <mergeCells count="133">
    <mergeCell ref="X46:AZ46"/>
    <mergeCell ref="L46:U46"/>
    <mergeCell ref="B49:K49"/>
    <mergeCell ref="B50:K50"/>
    <mergeCell ref="B51:K51"/>
    <mergeCell ref="V49:W49"/>
    <mergeCell ref="V50:W50"/>
    <mergeCell ref="V51:W51"/>
    <mergeCell ref="L51:U51"/>
    <mergeCell ref="X48:AZ48"/>
    <mergeCell ref="V46:W46"/>
    <mergeCell ref="V47:W47"/>
    <mergeCell ref="V48:W48"/>
    <mergeCell ref="B43:K43"/>
    <mergeCell ref="B44:K44"/>
    <mergeCell ref="B45:K45"/>
    <mergeCell ref="B46:K46"/>
    <mergeCell ref="V43:W43"/>
    <mergeCell ref="V44:W44"/>
    <mergeCell ref="B38:K38"/>
    <mergeCell ref="B39:K39"/>
    <mergeCell ref="L34:U34"/>
    <mergeCell ref="X34:AZ34"/>
    <mergeCell ref="X35:AZ35"/>
    <mergeCell ref="V32:W32"/>
    <mergeCell ref="V33:W33"/>
    <mergeCell ref="X38:AZ38"/>
    <mergeCell ref="X39:AZ39"/>
    <mergeCell ref="B33:K33"/>
    <mergeCell ref="B34:K34"/>
    <mergeCell ref="B35:K35"/>
    <mergeCell ref="B36:K36"/>
    <mergeCell ref="B37:K37"/>
    <mergeCell ref="V34:W34"/>
    <mergeCell ref="V35:W35"/>
    <mergeCell ref="X36:AZ36"/>
    <mergeCell ref="V36:W36"/>
    <mergeCell ref="L32:U32"/>
    <mergeCell ref="L33:U33"/>
    <mergeCell ref="L28:U28"/>
    <mergeCell ref="L29:U29"/>
    <mergeCell ref="L30:U30"/>
    <mergeCell ref="B30:K30"/>
    <mergeCell ref="B32:K32"/>
    <mergeCell ref="X32:AZ32"/>
    <mergeCell ref="X33:AZ33"/>
    <mergeCell ref="B24:K24"/>
    <mergeCell ref="B25:K25"/>
    <mergeCell ref="B26:K26"/>
    <mergeCell ref="V27:W27"/>
    <mergeCell ref="B27:K27"/>
    <mergeCell ref="V28:W28"/>
    <mergeCell ref="V29:W29"/>
    <mergeCell ref="V30:W30"/>
    <mergeCell ref="X21:AZ21"/>
    <mergeCell ref="X22:AZ22"/>
    <mergeCell ref="X23:AZ23"/>
    <mergeCell ref="X24:AZ24"/>
    <mergeCell ref="X25:AZ25"/>
    <mergeCell ref="X26:AZ26"/>
    <mergeCell ref="X27:AZ27"/>
    <mergeCell ref="V21:W21"/>
    <mergeCell ref="V22:W22"/>
    <mergeCell ref="V23:W23"/>
    <mergeCell ref="B28:K28"/>
    <mergeCell ref="B29:K29"/>
    <mergeCell ref="L52:U52"/>
    <mergeCell ref="X52:AZ52"/>
    <mergeCell ref="B47:K47"/>
    <mergeCell ref="B48:K48"/>
    <mergeCell ref="V52:W52"/>
    <mergeCell ref="B52:K52"/>
    <mergeCell ref="X49:AZ49"/>
    <mergeCell ref="X50:AZ50"/>
    <mergeCell ref="X51:AZ51"/>
    <mergeCell ref="L47:U47"/>
    <mergeCell ref="L50:U50"/>
    <mergeCell ref="X47:AZ47"/>
    <mergeCell ref="L48:U48"/>
    <mergeCell ref="L49:U49"/>
    <mergeCell ref="X43:AZ43"/>
    <mergeCell ref="X44:AZ44"/>
    <mergeCell ref="X40:AZ40"/>
    <mergeCell ref="X41:AZ41"/>
    <mergeCell ref="L45:U45"/>
    <mergeCell ref="L39:U39"/>
    <mergeCell ref="L40:U40"/>
    <mergeCell ref="L41:U41"/>
    <mergeCell ref="L37:U37"/>
    <mergeCell ref="L38:U38"/>
    <mergeCell ref="V37:W37"/>
    <mergeCell ref="L43:U43"/>
    <mergeCell ref="L44:U44"/>
    <mergeCell ref="V40:W40"/>
    <mergeCell ref="V41:W41"/>
    <mergeCell ref="V38:W38"/>
    <mergeCell ref="X45:AZ45"/>
    <mergeCell ref="V45:W45"/>
    <mergeCell ref="V39:W39"/>
    <mergeCell ref="X37:AZ37"/>
    <mergeCell ref="A1:J2"/>
    <mergeCell ref="Y1:AB1"/>
    <mergeCell ref="Y2:AB2"/>
    <mergeCell ref="O1:X1"/>
    <mergeCell ref="O2:X2"/>
    <mergeCell ref="K1:N1"/>
    <mergeCell ref="K2:N2"/>
    <mergeCell ref="B41:K41"/>
    <mergeCell ref="B40:K40"/>
    <mergeCell ref="L21:U21"/>
    <mergeCell ref="L36:U36"/>
    <mergeCell ref="L22:U22"/>
    <mergeCell ref="L23:U23"/>
    <mergeCell ref="L24:U24"/>
    <mergeCell ref="L25:U25"/>
    <mergeCell ref="L35:U35"/>
    <mergeCell ref="L26:U26"/>
    <mergeCell ref="L27:U27"/>
    <mergeCell ref="X28:AZ28"/>
    <mergeCell ref="X29:AZ29"/>
    <mergeCell ref="X30:AZ30"/>
    <mergeCell ref="B21:K21"/>
    <mergeCell ref="B22:K22"/>
    <mergeCell ref="B23:K23"/>
    <mergeCell ref="AQ1:AZ1"/>
    <mergeCell ref="AQ2:AZ2"/>
    <mergeCell ref="AC1:AL1"/>
    <mergeCell ref="AC2:AL2"/>
    <mergeCell ref="AM1:AP1"/>
    <mergeCell ref="V24:W24"/>
    <mergeCell ref="V25:W25"/>
    <mergeCell ref="V26:W26"/>
    <mergeCell ref="AM2:AP2"/>
  </mergeCells>
  <phoneticPr fontId="2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&amp;P-1 -&amp;R&amp;"明朝,標準"&amp;8Copyright © 2007 sample Corporation. All Rights Reserved.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C54"/>
  <sheetViews>
    <sheetView workbookViewId="0">
      <pane ySplit="5" topLeftCell="A6" activePane="bottomLeft" state="frozen"/>
      <selection sqref="A1:K2"/>
      <selection pane="bottomLeft" activeCell="U18" sqref="B18:AA19"/>
    </sheetView>
  </sheetViews>
  <sheetFormatPr defaultColWidth="2.625" defaultRowHeight="10.5"/>
  <cols>
    <col min="1" max="16384" width="2.625" style="1"/>
  </cols>
  <sheetData>
    <row r="1" spans="1:55">
      <c r="A1" s="123" t="s">
        <v>5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5"/>
      <c r="N1" s="114" t="s">
        <v>3</v>
      </c>
      <c r="O1" s="115"/>
      <c r="P1" s="115"/>
      <c r="Q1" s="116"/>
      <c r="R1" s="129" t="str">
        <f>IF(ISBLANK(表紙!AL43),"",(表紙!AL43))</f>
        <v>画面名</v>
      </c>
      <c r="S1" s="130"/>
      <c r="T1" s="130"/>
      <c r="U1" s="130"/>
      <c r="V1" s="130"/>
      <c r="W1" s="130"/>
      <c r="X1" s="130"/>
      <c r="Y1" s="130"/>
      <c r="Z1" s="130"/>
      <c r="AA1" s="131"/>
      <c r="AB1" s="114" t="s">
        <v>6</v>
      </c>
      <c r="AC1" s="115"/>
      <c r="AD1" s="115"/>
      <c r="AE1" s="116"/>
      <c r="AF1" s="111" t="str">
        <f>IF(ISBLANK(表紙!AL39),"",(表紙!AL39))</f>
        <v>saitama_ict_practice_project</v>
      </c>
      <c r="AG1" s="112"/>
      <c r="AH1" s="112"/>
      <c r="AI1" s="112"/>
      <c r="AJ1" s="112"/>
      <c r="AK1" s="112"/>
      <c r="AL1" s="112"/>
      <c r="AM1" s="112"/>
      <c r="AN1" s="112"/>
      <c r="AO1" s="113"/>
      <c r="AP1" s="114" t="s">
        <v>1</v>
      </c>
      <c r="AQ1" s="115"/>
      <c r="AR1" s="115"/>
      <c r="AS1" s="116"/>
      <c r="AT1" s="120">
        <f>IF(ISBLANK(表紙!AL47),"",(表紙!AL47))</f>
        <v>43696</v>
      </c>
      <c r="AU1" s="121"/>
      <c r="AV1" s="121"/>
      <c r="AW1" s="121"/>
      <c r="AX1" s="121"/>
      <c r="AY1" s="121"/>
      <c r="AZ1" s="121"/>
      <c r="BA1" s="121"/>
      <c r="BB1" s="121"/>
      <c r="BC1" s="122"/>
    </row>
    <row r="2" spans="1:55">
      <c r="A2" s="126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8"/>
      <c r="N2" s="114" t="s">
        <v>4</v>
      </c>
      <c r="O2" s="115"/>
      <c r="P2" s="115"/>
      <c r="Q2" s="116"/>
      <c r="R2" s="129" t="str">
        <f>IF(ISBLANK(表紙!AL45),"",(表紙!AL45))</f>
        <v>プログラムの時に記載する識別名（機能の英名先頭３文字+01）</v>
      </c>
      <c r="S2" s="130"/>
      <c r="T2" s="130"/>
      <c r="U2" s="130"/>
      <c r="V2" s="130"/>
      <c r="W2" s="130"/>
      <c r="X2" s="130"/>
      <c r="Y2" s="130"/>
      <c r="Z2" s="130"/>
      <c r="AA2" s="131"/>
      <c r="AB2" s="114" t="s">
        <v>0</v>
      </c>
      <c r="AC2" s="115"/>
      <c r="AD2" s="115"/>
      <c r="AE2" s="116"/>
      <c r="AF2" s="111" t="str">
        <f>IF(ISBLANK(表紙!AL41),"",(表紙!AL41))</f>
        <v>【訓練生用】Webアプリ開発</v>
      </c>
      <c r="AG2" s="112"/>
      <c r="AH2" s="112"/>
      <c r="AI2" s="112"/>
      <c r="AJ2" s="112"/>
      <c r="AK2" s="112"/>
      <c r="AL2" s="112"/>
      <c r="AM2" s="112"/>
      <c r="AN2" s="112"/>
      <c r="AO2" s="113"/>
      <c r="AP2" s="114" t="s">
        <v>27</v>
      </c>
      <c r="AQ2" s="115"/>
      <c r="AR2" s="115"/>
      <c r="AS2" s="116"/>
      <c r="AT2" s="117" t="str">
        <f>IF(ISBLANK(表紙!AL49),"",(表紙!AL49))</f>
        <v/>
      </c>
      <c r="AU2" s="118"/>
      <c r="AV2" s="118"/>
      <c r="AW2" s="118"/>
      <c r="AX2" s="118"/>
      <c r="AY2" s="118"/>
      <c r="AZ2" s="118"/>
      <c r="BA2" s="118"/>
      <c r="BB2" s="118"/>
      <c r="BC2" s="119"/>
    </row>
    <row r="3" spans="1:55">
      <c r="B3" s="2"/>
    </row>
    <row r="4" spans="1:55">
      <c r="A4" s="15" t="s">
        <v>15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7"/>
    </row>
    <row r="5" spans="1:55">
      <c r="A5" s="18" t="s">
        <v>14</v>
      </c>
      <c r="B5" s="110" t="s">
        <v>16</v>
      </c>
      <c r="C5" s="110"/>
      <c r="D5" s="110"/>
      <c r="E5" s="110"/>
      <c r="F5" s="110"/>
      <c r="G5" s="110"/>
      <c r="H5" s="110"/>
      <c r="I5" s="110"/>
      <c r="J5" s="110"/>
      <c r="K5" s="110"/>
      <c r="L5" s="110" t="s">
        <v>17</v>
      </c>
      <c r="M5" s="110"/>
      <c r="N5" s="110"/>
      <c r="O5" s="110"/>
      <c r="P5" s="110"/>
      <c r="Q5" s="110" t="s">
        <v>22</v>
      </c>
      <c r="R5" s="110"/>
      <c r="S5" s="110" t="s">
        <v>18</v>
      </c>
      <c r="T5" s="110"/>
      <c r="U5" s="110" t="s">
        <v>19</v>
      </c>
      <c r="V5" s="110"/>
      <c r="W5" s="110"/>
      <c r="X5" s="110"/>
      <c r="Y5" s="110"/>
      <c r="Z5" s="110"/>
      <c r="AA5" s="110"/>
      <c r="AB5" s="110" t="s">
        <v>20</v>
      </c>
      <c r="AC5" s="110"/>
      <c r="AD5" s="110"/>
      <c r="AE5" s="110"/>
      <c r="AF5" s="110"/>
      <c r="AG5" s="110"/>
      <c r="AH5" s="110"/>
      <c r="AI5" s="110"/>
      <c r="AJ5" s="110" t="s">
        <v>21</v>
      </c>
      <c r="AK5" s="110"/>
      <c r="AL5" s="110"/>
      <c r="AM5" s="110"/>
      <c r="AN5" s="110"/>
      <c r="AO5" s="110"/>
      <c r="AP5" s="110"/>
      <c r="AQ5" s="110"/>
      <c r="AR5" s="110" t="s">
        <v>2</v>
      </c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</row>
    <row r="6" spans="1:55">
      <c r="A6" s="14">
        <f>ROW()-5</f>
        <v>1</v>
      </c>
      <c r="B6" s="108" t="s">
        <v>60</v>
      </c>
      <c r="C6" s="108"/>
      <c r="D6" s="108"/>
      <c r="E6" s="108"/>
      <c r="F6" s="108"/>
      <c r="G6" s="108"/>
      <c r="H6" s="108"/>
      <c r="I6" s="108"/>
      <c r="J6" s="108"/>
      <c r="K6" s="108"/>
      <c r="L6" s="108" t="s">
        <v>46</v>
      </c>
      <c r="M6" s="108"/>
      <c r="N6" s="108"/>
      <c r="O6" s="108"/>
      <c r="P6" s="108"/>
      <c r="Q6" s="109" t="s">
        <v>47</v>
      </c>
      <c r="R6" s="109"/>
      <c r="S6" s="108"/>
      <c r="T6" s="108"/>
      <c r="U6" s="108" t="s">
        <v>66</v>
      </c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</row>
    <row r="7" spans="1:55">
      <c r="A7" s="14">
        <f t="shared" ref="A7:A54" si="0">ROW()-5</f>
        <v>2</v>
      </c>
      <c r="B7" s="108" t="s">
        <v>61</v>
      </c>
      <c r="C7" s="108"/>
      <c r="D7" s="108"/>
      <c r="E7" s="108"/>
      <c r="F7" s="108"/>
      <c r="G7" s="108"/>
      <c r="H7" s="108"/>
      <c r="I7" s="108"/>
      <c r="J7" s="108"/>
      <c r="K7" s="108"/>
      <c r="L7" s="108" t="s">
        <v>46</v>
      </c>
      <c r="M7" s="108"/>
      <c r="N7" s="108"/>
      <c r="O7" s="108"/>
      <c r="P7" s="108"/>
      <c r="Q7" s="109" t="s">
        <v>47</v>
      </c>
      <c r="R7" s="109"/>
      <c r="S7" s="108"/>
      <c r="T7" s="108"/>
      <c r="U7" s="108" t="s">
        <v>65</v>
      </c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</row>
    <row r="8" spans="1:55">
      <c r="A8" s="14">
        <f t="shared" si="0"/>
        <v>3</v>
      </c>
      <c r="B8" s="108" t="s">
        <v>62</v>
      </c>
      <c r="C8" s="108"/>
      <c r="D8" s="108"/>
      <c r="E8" s="108"/>
      <c r="F8" s="108"/>
      <c r="G8" s="108"/>
      <c r="H8" s="108"/>
      <c r="I8" s="108"/>
      <c r="J8" s="108"/>
      <c r="K8" s="108"/>
      <c r="L8" s="108" t="s">
        <v>48</v>
      </c>
      <c r="M8" s="108"/>
      <c r="N8" s="108"/>
      <c r="O8" s="108"/>
      <c r="P8" s="108"/>
      <c r="Q8" s="109" t="s">
        <v>47</v>
      </c>
      <c r="R8" s="109"/>
      <c r="S8" s="108">
        <v>20</v>
      </c>
      <c r="T8" s="108"/>
      <c r="U8" s="108" t="s">
        <v>63</v>
      </c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2"/>
      <c r="AK8" s="103"/>
      <c r="AL8" s="103"/>
      <c r="AM8" s="103"/>
      <c r="AN8" s="103"/>
      <c r="AO8" s="103"/>
      <c r="AP8" s="103"/>
      <c r="AQ8" s="104"/>
      <c r="AR8" s="108"/>
      <c r="AS8" s="108"/>
      <c r="AT8" s="108"/>
      <c r="AU8" s="108"/>
      <c r="AV8" s="108"/>
      <c r="AW8" s="108"/>
      <c r="AX8" s="108"/>
      <c r="AY8" s="108"/>
      <c r="AZ8" s="108"/>
      <c r="BA8" s="108"/>
      <c r="BB8" s="108"/>
      <c r="BC8" s="108"/>
    </row>
    <row r="9" spans="1:55">
      <c r="A9" s="14">
        <f>ROW()-5</f>
        <v>4</v>
      </c>
      <c r="B9" s="108" t="s">
        <v>91</v>
      </c>
      <c r="C9" s="108"/>
      <c r="D9" s="108"/>
      <c r="E9" s="108"/>
      <c r="F9" s="108"/>
      <c r="G9" s="108"/>
      <c r="H9" s="108"/>
      <c r="I9" s="108"/>
      <c r="J9" s="108"/>
      <c r="K9" s="108"/>
      <c r="L9" s="108" t="s">
        <v>92</v>
      </c>
      <c r="M9" s="108"/>
      <c r="N9" s="108"/>
      <c r="O9" s="108"/>
      <c r="P9" s="108"/>
      <c r="Q9" s="109" t="s">
        <v>47</v>
      </c>
      <c r="R9" s="109"/>
      <c r="S9" s="108"/>
      <c r="T9" s="108"/>
      <c r="U9" s="108" t="s">
        <v>64</v>
      </c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2"/>
      <c r="AK9" s="103"/>
      <c r="AL9" s="103"/>
      <c r="AM9" s="103"/>
      <c r="AN9" s="103"/>
      <c r="AO9" s="103"/>
      <c r="AP9" s="103"/>
      <c r="AQ9" s="104"/>
      <c r="AR9" s="108"/>
      <c r="AS9" s="108"/>
      <c r="AT9" s="108"/>
      <c r="AU9" s="108"/>
      <c r="AV9" s="108"/>
      <c r="AW9" s="108"/>
      <c r="AX9" s="108"/>
      <c r="AY9" s="108"/>
      <c r="AZ9" s="108"/>
      <c r="BA9" s="108"/>
      <c r="BB9" s="108"/>
      <c r="BC9" s="108"/>
    </row>
    <row r="10" spans="1:55">
      <c r="A10" s="14">
        <f t="shared" si="0"/>
        <v>5</v>
      </c>
      <c r="B10" s="108" t="s">
        <v>87</v>
      </c>
      <c r="C10" s="108"/>
      <c r="D10" s="108"/>
      <c r="E10" s="108"/>
      <c r="F10" s="108"/>
      <c r="G10" s="108"/>
      <c r="H10" s="108"/>
      <c r="I10" s="108"/>
      <c r="J10" s="108"/>
      <c r="K10" s="108"/>
      <c r="L10" s="108" t="s">
        <v>88</v>
      </c>
      <c r="M10" s="108"/>
      <c r="N10" s="108"/>
      <c r="O10" s="108"/>
      <c r="P10" s="108"/>
      <c r="Q10" s="109" t="s">
        <v>47</v>
      </c>
      <c r="R10" s="109"/>
      <c r="S10" s="108"/>
      <c r="T10" s="108"/>
      <c r="U10" s="108" t="s">
        <v>89</v>
      </c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2"/>
      <c r="AK10" s="103"/>
      <c r="AL10" s="103"/>
      <c r="AM10" s="103"/>
      <c r="AN10" s="103"/>
      <c r="AO10" s="103"/>
      <c r="AP10" s="103"/>
      <c r="AQ10" s="104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</row>
    <row r="11" spans="1:55">
      <c r="A11" s="14">
        <f t="shared" si="0"/>
        <v>6</v>
      </c>
      <c r="B11" s="108" t="s">
        <v>90</v>
      </c>
      <c r="C11" s="108"/>
      <c r="D11" s="108"/>
      <c r="E11" s="108"/>
      <c r="F11" s="108"/>
      <c r="G11" s="108"/>
      <c r="H11" s="108"/>
      <c r="I11" s="108"/>
      <c r="J11" s="108"/>
      <c r="K11" s="108"/>
      <c r="L11" s="108" t="s">
        <v>46</v>
      </c>
      <c r="M11" s="108"/>
      <c r="N11" s="108"/>
      <c r="O11" s="108"/>
      <c r="P11" s="108"/>
      <c r="Q11" s="109" t="s">
        <v>47</v>
      </c>
      <c r="R11" s="109"/>
      <c r="S11" s="108">
        <v>50</v>
      </c>
      <c r="T11" s="108"/>
      <c r="U11" s="108" t="s">
        <v>106</v>
      </c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2"/>
      <c r="AK11" s="103"/>
      <c r="AL11" s="103"/>
      <c r="AM11" s="103"/>
      <c r="AN11" s="103"/>
      <c r="AO11" s="103"/>
      <c r="AP11" s="103"/>
      <c r="AQ11" s="104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</row>
    <row r="12" spans="1:55">
      <c r="A12" s="14">
        <f t="shared" si="0"/>
        <v>7</v>
      </c>
      <c r="B12" s="108" t="s">
        <v>93</v>
      </c>
      <c r="C12" s="108"/>
      <c r="D12" s="108"/>
      <c r="E12" s="108"/>
      <c r="F12" s="108"/>
      <c r="G12" s="108"/>
      <c r="H12" s="108"/>
      <c r="I12" s="108"/>
      <c r="J12" s="108"/>
      <c r="K12" s="108"/>
      <c r="L12" s="108" t="s">
        <v>94</v>
      </c>
      <c r="M12" s="108"/>
      <c r="N12" s="108"/>
      <c r="O12" s="108"/>
      <c r="P12" s="108"/>
      <c r="Q12" s="109" t="s">
        <v>47</v>
      </c>
      <c r="R12" s="109"/>
      <c r="S12" s="108"/>
      <c r="T12" s="108"/>
      <c r="U12" s="108" t="s">
        <v>95</v>
      </c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2"/>
      <c r="AK12" s="103"/>
      <c r="AL12" s="103"/>
      <c r="AM12" s="103"/>
      <c r="AN12" s="103"/>
      <c r="AO12" s="103"/>
      <c r="AP12" s="103"/>
      <c r="AQ12" s="104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</row>
    <row r="13" spans="1:55">
      <c r="A13" s="14">
        <f t="shared" si="0"/>
        <v>8</v>
      </c>
      <c r="B13" s="108" t="s">
        <v>101</v>
      </c>
      <c r="C13" s="108"/>
      <c r="D13" s="108"/>
      <c r="E13" s="108"/>
      <c r="F13" s="108"/>
      <c r="G13" s="108"/>
      <c r="H13" s="108"/>
      <c r="I13" s="108"/>
      <c r="J13" s="108"/>
      <c r="K13" s="108"/>
      <c r="L13" s="108" t="s">
        <v>103</v>
      </c>
      <c r="M13" s="108"/>
      <c r="N13" s="108"/>
      <c r="O13" s="108"/>
      <c r="P13" s="108"/>
      <c r="Q13" s="109" t="s">
        <v>47</v>
      </c>
      <c r="R13" s="109"/>
      <c r="S13" s="108"/>
      <c r="T13" s="108"/>
      <c r="U13" s="108" t="s">
        <v>105</v>
      </c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2"/>
      <c r="AK13" s="103"/>
      <c r="AL13" s="103"/>
      <c r="AM13" s="103"/>
      <c r="AN13" s="103"/>
      <c r="AO13" s="103"/>
      <c r="AP13" s="103"/>
      <c r="AQ13" s="104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</row>
    <row r="14" spans="1:55">
      <c r="A14" s="14">
        <f t="shared" si="0"/>
        <v>9</v>
      </c>
      <c r="B14" s="108" t="s">
        <v>102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 t="s">
        <v>104</v>
      </c>
      <c r="M14" s="108"/>
      <c r="N14" s="108"/>
      <c r="O14" s="108"/>
      <c r="P14" s="108"/>
      <c r="Q14" s="109" t="s">
        <v>47</v>
      </c>
      <c r="R14" s="109"/>
      <c r="S14" s="108"/>
      <c r="T14" s="108"/>
      <c r="U14" s="108" t="s">
        <v>107</v>
      </c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2"/>
      <c r="AK14" s="103"/>
      <c r="AL14" s="103"/>
      <c r="AM14" s="103"/>
      <c r="AN14" s="103"/>
      <c r="AO14" s="103"/>
      <c r="AP14" s="103"/>
      <c r="AQ14" s="104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</row>
    <row r="15" spans="1:55">
      <c r="A15" s="14">
        <f t="shared" si="0"/>
        <v>10</v>
      </c>
      <c r="B15" s="108" t="s">
        <v>126</v>
      </c>
      <c r="C15" s="108"/>
      <c r="D15" s="108"/>
      <c r="E15" s="108"/>
      <c r="F15" s="108"/>
      <c r="G15" s="108"/>
      <c r="H15" s="108"/>
      <c r="I15" s="108"/>
      <c r="J15" s="108"/>
      <c r="K15" s="108"/>
      <c r="L15" s="108" t="s">
        <v>128</v>
      </c>
      <c r="M15" s="108"/>
      <c r="N15" s="108"/>
      <c r="O15" s="108"/>
      <c r="P15" s="108"/>
      <c r="Q15" s="109"/>
      <c r="R15" s="109"/>
      <c r="S15" s="108"/>
      <c r="T15" s="108"/>
      <c r="U15" s="108" t="s">
        <v>131</v>
      </c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2"/>
      <c r="AK15" s="103"/>
      <c r="AL15" s="103"/>
      <c r="AM15" s="103"/>
      <c r="AN15" s="103"/>
      <c r="AO15" s="103"/>
      <c r="AP15" s="103"/>
      <c r="AQ15" s="104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</row>
    <row r="16" spans="1:55">
      <c r="A16" s="14">
        <f t="shared" si="0"/>
        <v>11</v>
      </c>
      <c r="B16" s="108" t="s">
        <v>127</v>
      </c>
      <c r="C16" s="108"/>
      <c r="D16" s="108"/>
      <c r="E16" s="108"/>
      <c r="F16" s="108"/>
      <c r="G16" s="108"/>
      <c r="H16" s="108"/>
      <c r="I16" s="108"/>
      <c r="J16" s="108"/>
      <c r="K16" s="108"/>
      <c r="L16" s="108" t="s">
        <v>129</v>
      </c>
      <c r="M16" s="108"/>
      <c r="N16" s="108"/>
      <c r="O16" s="108"/>
      <c r="P16" s="108"/>
      <c r="Q16" s="109"/>
      <c r="R16" s="109"/>
      <c r="S16" s="108"/>
      <c r="T16" s="108"/>
      <c r="U16" s="108" t="s">
        <v>132</v>
      </c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2"/>
      <c r="AK16" s="103"/>
      <c r="AL16" s="103"/>
      <c r="AM16" s="103"/>
      <c r="AN16" s="103"/>
      <c r="AO16" s="103"/>
      <c r="AP16" s="103"/>
      <c r="AQ16" s="104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</row>
    <row r="17" spans="1:55">
      <c r="A17" s="14">
        <f t="shared" si="0"/>
        <v>12</v>
      </c>
      <c r="B17" s="108" t="s">
        <v>123</v>
      </c>
      <c r="C17" s="108"/>
      <c r="D17" s="108"/>
      <c r="E17" s="108"/>
      <c r="F17" s="108"/>
      <c r="G17" s="108"/>
      <c r="H17" s="108"/>
      <c r="I17" s="108"/>
      <c r="J17" s="108"/>
      <c r="K17" s="108"/>
      <c r="L17" s="108" t="s">
        <v>130</v>
      </c>
      <c r="M17" s="108"/>
      <c r="N17" s="108"/>
      <c r="O17" s="108"/>
      <c r="P17" s="108"/>
      <c r="Q17" s="109"/>
      <c r="R17" s="109"/>
      <c r="S17" s="108"/>
      <c r="T17" s="108"/>
      <c r="U17" s="108" t="s">
        <v>133</v>
      </c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</row>
    <row r="18" spans="1:55">
      <c r="A18" s="14">
        <f t="shared" si="0"/>
        <v>13</v>
      </c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9"/>
      <c r="R18" s="109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</row>
    <row r="19" spans="1:55">
      <c r="A19" s="14">
        <f t="shared" si="0"/>
        <v>14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9"/>
      <c r="R19" s="109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</row>
    <row r="20" spans="1:55">
      <c r="A20" s="14">
        <f t="shared" si="0"/>
        <v>15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9"/>
      <c r="R20" s="109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</row>
    <row r="21" spans="1:55">
      <c r="A21" s="14">
        <f t="shared" si="0"/>
        <v>16</v>
      </c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9"/>
      <c r="R21" s="109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</row>
    <row r="22" spans="1:55">
      <c r="A22" s="14">
        <f t="shared" si="0"/>
        <v>17</v>
      </c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9"/>
      <c r="R22" s="109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</row>
    <row r="23" spans="1:55">
      <c r="A23" s="14">
        <f t="shared" si="0"/>
        <v>18</v>
      </c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109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</row>
    <row r="24" spans="1:55">
      <c r="A24" s="14">
        <f t="shared" si="0"/>
        <v>19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9"/>
      <c r="R24" s="109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</row>
    <row r="25" spans="1:55">
      <c r="A25" s="14">
        <f t="shared" si="0"/>
        <v>20</v>
      </c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109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</row>
    <row r="26" spans="1:55">
      <c r="A26" s="14">
        <f t="shared" si="0"/>
        <v>21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9"/>
      <c r="R26" s="109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</row>
    <row r="27" spans="1:55">
      <c r="A27" s="14">
        <f t="shared" si="0"/>
        <v>22</v>
      </c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9"/>
      <c r="R27" s="109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</row>
    <row r="28" spans="1:55">
      <c r="A28" s="14">
        <f t="shared" si="0"/>
        <v>23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9"/>
      <c r="R28" s="109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</row>
    <row r="29" spans="1:55">
      <c r="A29" s="14">
        <f t="shared" si="0"/>
        <v>24</v>
      </c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9"/>
      <c r="R29" s="109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</row>
    <row r="30" spans="1:55">
      <c r="A30" s="14">
        <f t="shared" si="0"/>
        <v>25</v>
      </c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9"/>
      <c r="R30" s="109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</row>
    <row r="31" spans="1:55">
      <c r="A31" s="14">
        <f t="shared" si="0"/>
        <v>26</v>
      </c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9"/>
      <c r="R31" s="109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</row>
    <row r="32" spans="1:55">
      <c r="A32" s="14">
        <f t="shared" si="0"/>
        <v>27</v>
      </c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9"/>
      <c r="R32" s="109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</row>
    <row r="33" spans="1:55">
      <c r="A33" s="14">
        <f t="shared" si="0"/>
        <v>28</v>
      </c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9"/>
      <c r="R33" s="109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</row>
    <row r="34" spans="1:55">
      <c r="A34" s="14">
        <f t="shared" si="0"/>
        <v>29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9"/>
      <c r="R34" s="109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</row>
    <row r="35" spans="1:55">
      <c r="A35" s="14">
        <f t="shared" si="0"/>
        <v>30</v>
      </c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9"/>
      <c r="R35" s="109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</row>
    <row r="36" spans="1:55">
      <c r="A36" s="14">
        <f t="shared" si="0"/>
        <v>31</v>
      </c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9"/>
      <c r="R36" s="109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</row>
    <row r="37" spans="1:55">
      <c r="A37" s="14">
        <f t="shared" si="0"/>
        <v>32</v>
      </c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9"/>
      <c r="R37" s="109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</row>
    <row r="38" spans="1:55">
      <c r="A38" s="14">
        <f t="shared" si="0"/>
        <v>33</v>
      </c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9"/>
      <c r="R38" s="109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</row>
    <row r="39" spans="1:55">
      <c r="A39" s="14">
        <f t="shared" si="0"/>
        <v>34</v>
      </c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9"/>
      <c r="R39" s="109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</row>
    <row r="40" spans="1:55">
      <c r="A40" s="14">
        <f t="shared" si="0"/>
        <v>35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9"/>
      <c r="R40" s="109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</row>
    <row r="41" spans="1:55">
      <c r="A41" s="14">
        <f t="shared" si="0"/>
        <v>36</v>
      </c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9"/>
      <c r="R41" s="109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</row>
    <row r="42" spans="1:55">
      <c r="A42" s="14">
        <f t="shared" si="0"/>
        <v>37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9"/>
      <c r="R42" s="109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</row>
    <row r="43" spans="1:55">
      <c r="A43" s="14">
        <f t="shared" si="0"/>
        <v>38</v>
      </c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9"/>
      <c r="R43" s="109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</row>
    <row r="44" spans="1:55">
      <c r="A44" s="14">
        <f t="shared" si="0"/>
        <v>39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9"/>
      <c r="R44" s="109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</row>
    <row r="45" spans="1:55">
      <c r="A45" s="14">
        <f t="shared" si="0"/>
        <v>40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9"/>
      <c r="R45" s="109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</row>
    <row r="46" spans="1:55">
      <c r="A46" s="14">
        <f t="shared" si="0"/>
        <v>41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9"/>
      <c r="R46" s="109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</row>
    <row r="47" spans="1:55">
      <c r="A47" s="14">
        <f t="shared" si="0"/>
        <v>42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9"/>
      <c r="R47" s="109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</row>
    <row r="48" spans="1:55">
      <c r="A48" s="14">
        <f t="shared" si="0"/>
        <v>43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9"/>
      <c r="R48" s="109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</row>
    <row r="49" spans="1:55">
      <c r="A49" s="14">
        <f t="shared" si="0"/>
        <v>44</v>
      </c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9"/>
      <c r="R49" s="109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</row>
    <row r="50" spans="1:55">
      <c r="A50" s="14">
        <f t="shared" si="0"/>
        <v>45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9"/>
      <c r="R50" s="109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</row>
    <row r="51" spans="1:55">
      <c r="A51" s="14">
        <f t="shared" si="0"/>
        <v>46</v>
      </c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9"/>
      <c r="R51" s="109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</row>
    <row r="52" spans="1:55">
      <c r="A52" s="14">
        <f t="shared" si="0"/>
        <v>47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9"/>
      <c r="R52" s="109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</row>
    <row r="53" spans="1:55">
      <c r="A53" s="14">
        <f t="shared" si="0"/>
        <v>48</v>
      </c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9"/>
      <c r="R53" s="109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</row>
    <row r="54" spans="1:55">
      <c r="A54" s="14">
        <f t="shared" si="0"/>
        <v>49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9"/>
      <c r="R54" s="109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</row>
  </sheetData>
  <mergeCells count="413">
    <mergeCell ref="U53:AA53"/>
    <mergeCell ref="AB53:AI53"/>
    <mergeCell ref="AJ53:AQ53"/>
    <mergeCell ref="AR53:BC53"/>
    <mergeCell ref="B53:K53"/>
    <mergeCell ref="L53:P53"/>
    <mergeCell ref="Q53:R53"/>
    <mergeCell ref="S53:T53"/>
    <mergeCell ref="U54:AA54"/>
    <mergeCell ref="AB54:AI54"/>
    <mergeCell ref="AJ54:AQ54"/>
    <mergeCell ref="AR54:BC54"/>
    <mergeCell ref="B54:K54"/>
    <mergeCell ref="L54:P54"/>
    <mergeCell ref="Q54:R54"/>
    <mergeCell ref="S54:T54"/>
    <mergeCell ref="U51:AA51"/>
    <mergeCell ref="AB51:AI51"/>
    <mergeCell ref="AJ51:AQ51"/>
    <mergeCell ref="AR51:BC51"/>
    <mergeCell ref="B51:K51"/>
    <mergeCell ref="L51:P51"/>
    <mergeCell ref="Q51:R51"/>
    <mergeCell ref="S51:T51"/>
    <mergeCell ref="U52:AA52"/>
    <mergeCell ref="AB52:AI52"/>
    <mergeCell ref="AJ52:AQ52"/>
    <mergeCell ref="AR52:BC52"/>
    <mergeCell ref="B52:K52"/>
    <mergeCell ref="L52:P52"/>
    <mergeCell ref="Q52:R52"/>
    <mergeCell ref="S52:T52"/>
    <mergeCell ref="U49:AA49"/>
    <mergeCell ref="AB49:AI49"/>
    <mergeCell ref="AJ49:AQ49"/>
    <mergeCell ref="AR49:BC49"/>
    <mergeCell ref="B49:K49"/>
    <mergeCell ref="L49:P49"/>
    <mergeCell ref="Q49:R49"/>
    <mergeCell ref="S49:T49"/>
    <mergeCell ref="U50:AA50"/>
    <mergeCell ref="AB50:AI50"/>
    <mergeCell ref="AJ50:AQ50"/>
    <mergeCell ref="AR50:BC50"/>
    <mergeCell ref="B50:K50"/>
    <mergeCell ref="L50:P50"/>
    <mergeCell ref="Q50:R50"/>
    <mergeCell ref="S50:T50"/>
    <mergeCell ref="U47:AA47"/>
    <mergeCell ref="AB47:AI47"/>
    <mergeCell ref="AJ47:AQ47"/>
    <mergeCell ref="AR47:BC47"/>
    <mergeCell ref="B47:K47"/>
    <mergeCell ref="L47:P47"/>
    <mergeCell ref="Q47:R47"/>
    <mergeCell ref="S47:T47"/>
    <mergeCell ref="U48:AA48"/>
    <mergeCell ref="AB48:AI48"/>
    <mergeCell ref="AJ48:AQ48"/>
    <mergeCell ref="AR48:BC48"/>
    <mergeCell ref="B48:K48"/>
    <mergeCell ref="L48:P48"/>
    <mergeCell ref="Q48:R48"/>
    <mergeCell ref="S48:T48"/>
    <mergeCell ref="U45:AA45"/>
    <mergeCell ref="AB45:AI45"/>
    <mergeCell ref="AJ45:AQ45"/>
    <mergeCell ref="AR45:BC45"/>
    <mergeCell ref="B45:K45"/>
    <mergeCell ref="L45:P45"/>
    <mergeCell ref="Q45:R45"/>
    <mergeCell ref="S45:T45"/>
    <mergeCell ref="U46:AA46"/>
    <mergeCell ref="AB46:AI46"/>
    <mergeCell ref="AJ46:AQ46"/>
    <mergeCell ref="AR46:BC46"/>
    <mergeCell ref="B46:K46"/>
    <mergeCell ref="L46:P46"/>
    <mergeCell ref="Q46:R46"/>
    <mergeCell ref="S46:T46"/>
    <mergeCell ref="U43:AA43"/>
    <mergeCell ref="AB43:AI43"/>
    <mergeCell ref="AJ43:AQ43"/>
    <mergeCell ref="AR43:BC43"/>
    <mergeCell ref="B43:K43"/>
    <mergeCell ref="L43:P43"/>
    <mergeCell ref="Q43:R43"/>
    <mergeCell ref="S43:T43"/>
    <mergeCell ref="U44:AA44"/>
    <mergeCell ref="AB44:AI44"/>
    <mergeCell ref="AJ44:AQ44"/>
    <mergeCell ref="AR44:BC44"/>
    <mergeCell ref="B44:K44"/>
    <mergeCell ref="L44:P44"/>
    <mergeCell ref="Q44:R44"/>
    <mergeCell ref="S44:T44"/>
    <mergeCell ref="U41:AA41"/>
    <mergeCell ref="AB41:AI41"/>
    <mergeCell ref="AJ41:AQ41"/>
    <mergeCell ref="AR41:BC41"/>
    <mergeCell ref="B41:K41"/>
    <mergeCell ref="L41:P41"/>
    <mergeCell ref="Q41:R41"/>
    <mergeCell ref="S41:T41"/>
    <mergeCell ref="U42:AA42"/>
    <mergeCell ref="AB42:AI42"/>
    <mergeCell ref="AJ42:AQ42"/>
    <mergeCell ref="AR42:BC42"/>
    <mergeCell ref="B42:K42"/>
    <mergeCell ref="L42:P42"/>
    <mergeCell ref="Q42:R42"/>
    <mergeCell ref="S42:T42"/>
    <mergeCell ref="U39:AA39"/>
    <mergeCell ref="AB39:AI39"/>
    <mergeCell ref="AJ39:AQ39"/>
    <mergeCell ref="AR39:BC39"/>
    <mergeCell ref="B39:K39"/>
    <mergeCell ref="L39:P39"/>
    <mergeCell ref="Q39:R39"/>
    <mergeCell ref="S39:T39"/>
    <mergeCell ref="U40:AA40"/>
    <mergeCell ref="AB40:AI40"/>
    <mergeCell ref="AJ40:AQ40"/>
    <mergeCell ref="AR40:BC40"/>
    <mergeCell ref="B40:K40"/>
    <mergeCell ref="L40:P40"/>
    <mergeCell ref="Q40:R40"/>
    <mergeCell ref="S40:T40"/>
    <mergeCell ref="U37:AA37"/>
    <mergeCell ref="AB37:AI37"/>
    <mergeCell ref="AJ37:AQ37"/>
    <mergeCell ref="AR37:BC37"/>
    <mergeCell ref="B37:K37"/>
    <mergeCell ref="L37:P37"/>
    <mergeCell ref="Q37:R37"/>
    <mergeCell ref="S37:T37"/>
    <mergeCell ref="U38:AA38"/>
    <mergeCell ref="AB38:AI38"/>
    <mergeCell ref="AJ38:AQ38"/>
    <mergeCell ref="AR38:BC38"/>
    <mergeCell ref="B38:K38"/>
    <mergeCell ref="L38:P38"/>
    <mergeCell ref="Q38:R38"/>
    <mergeCell ref="S38:T38"/>
    <mergeCell ref="U35:AA35"/>
    <mergeCell ref="AB35:AI35"/>
    <mergeCell ref="AJ35:AQ35"/>
    <mergeCell ref="AR35:BC35"/>
    <mergeCell ref="B35:K35"/>
    <mergeCell ref="L35:P35"/>
    <mergeCell ref="Q35:R35"/>
    <mergeCell ref="S35:T35"/>
    <mergeCell ref="U36:AA36"/>
    <mergeCell ref="AB36:AI36"/>
    <mergeCell ref="AJ36:AQ36"/>
    <mergeCell ref="AR36:BC36"/>
    <mergeCell ref="B36:K36"/>
    <mergeCell ref="L36:P36"/>
    <mergeCell ref="Q36:R36"/>
    <mergeCell ref="S36:T36"/>
    <mergeCell ref="U33:AA33"/>
    <mergeCell ref="AB33:AI33"/>
    <mergeCell ref="AJ33:AQ33"/>
    <mergeCell ref="AR33:BC33"/>
    <mergeCell ref="B33:K33"/>
    <mergeCell ref="L33:P33"/>
    <mergeCell ref="Q33:R33"/>
    <mergeCell ref="S33:T33"/>
    <mergeCell ref="U34:AA34"/>
    <mergeCell ref="AB34:AI34"/>
    <mergeCell ref="AJ34:AQ34"/>
    <mergeCell ref="AR34:BC34"/>
    <mergeCell ref="B34:K34"/>
    <mergeCell ref="L34:P34"/>
    <mergeCell ref="Q34:R34"/>
    <mergeCell ref="S34:T34"/>
    <mergeCell ref="U31:AA31"/>
    <mergeCell ref="AB31:AI31"/>
    <mergeCell ref="AJ31:AQ31"/>
    <mergeCell ref="AR31:BC31"/>
    <mergeCell ref="B31:K31"/>
    <mergeCell ref="L31:P31"/>
    <mergeCell ref="Q31:R31"/>
    <mergeCell ref="S31:T31"/>
    <mergeCell ref="U32:AA32"/>
    <mergeCell ref="AB32:AI32"/>
    <mergeCell ref="AJ32:AQ32"/>
    <mergeCell ref="AR32:BC32"/>
    <mergeCell ref="B32:K32"/>
    <mergeCell ref="L32:P32"/>
    <mergeCell ref="Q32:R32"/>
    <mergeCell ref="S32:T32"/>
    <mergeCell ref="AJ29:AQ29"/>
    <mergeCell ref="AR29:BC29"/>
    <mergeCell ref="B30:K30"/>
    <mergeCell ref="L30:P30"/>
    <mergeCell ref="Q30:R30"/>
    <mergeCell ref="S30:T30"/>
    <mergeCell ref="U30:AA30"/>
    <mergeCell ref="AB30:AI30"/>
    <mergeCell ref="AJ30:AQ30"/>
    <mergeCell ref="AR30:BC30"/>
    <mergeCell ref="AR27:BC27"/>
    <mergeCell ref="B28:K28"/>
    <mergeCell ref="L28:P28"/>
    <mergeCell ref="Q28:R28"/>
    <mergeCell ref="S28:T28"/>
    <mergeCell ref="U28:AA28"/>
    <mergeCell ref="AB28:AI28"/>
    <mergeCell ref="AJ28:AQ28"/>
    <mergeCell ref="AR28:BC28"/>
    <mergeCell ref="Q22:R22"/>
    <mergeCell ref="S22:T22"/>
    <mergeCell ref="U22:AA22"/>
    <mergeCell ref="AR22:BC22"/>
    <mergeCell ref="U23:AA23"/>
    <mergeCell ref="AB23:AI23"/>
    <mergeCell ref="AJ23:AQ23"/>
    <mergeCell ref="AR23:BC23"/>
    <mergeCell ref="L23:P23"/>
    <mergeCell ref="Q23:R23"/>
    <mergeCell ref="S23:T23"/>
    <mergeCell ref="AB22:AI22"/>
    <mergeCell ref="AJ22:AQ22"/>
    <mergeCell ref="AJ20:AQ20"/>
    <mergeCell ref="AR20:BC20"/>
    <mergeCell ref="S19:T19"/>
    <mergeCell ref="U19:AA19"/>
    <mergeCell ref="AB19:AI19"/>
    <mergeCell ref="AJ19:AQ19"/>
    <mergeCell ref="Q21:R21"/>
    <mergeCell ref="S21:T21"/>
    <mergeCell ref="U21:AA21"/>
    <mergeCell ref="AR19:BC19"/>
    <mergeCell ref="Q20:R20"/>
    <mergeCell ref="S20:T20"/>
    <mergeCell ref="U20:AA20"/>
    <mergeCell ref="AB20:AI20"/>
    <mergeCell ref="AB21:AI21"/>
    <mergeCell ref="AJ21:AQ21"/>
    <mergeCell ref="AR21:BC21"/>
    <mergeCell ref="A1:M2"/>
    <mergeCell ref="B19:K19"/>
    <mergeCell ref="L19:P19"/>
    <mergeCell ref="Q19:R19"/>
    <mergeCell ref="R1:AA1"/>
    <mergeCell ref="R2:AA2"/>
    <mergeCell ref="N1:Q1"/>
    <mergeCell ref="S6:T6"/>
    <mergeCell ref="S7:T7"/>
    <mergeCell ref="S8:T8"/>
    <mergeCell ref="S10:T10"/>
    <mergeCell ref="S11:T11"/>
    <mergeCell ref="S9:T9"/>
    <mergeCell ref="S12:T12"/>
    <mergeCell ref="U6:AA6"/>
    <mergeCell ref="Q14:R14"/>
    <mergeCell ref="Q15:R15"/>
    <mergeCell ref="Q16:R16"/>
    <mergeCell ref="Q17:R17"/>
    <mergeCell ref="S16:T16"/>
    <mergeCell ref="S14:T14"/>
    <mergeCell ref="S15:T15"/>
    <mergeCell ref="S13:T13"/>
    <mergeCell ref="B5:K5"/>
    <mergeCell ref="AR16:BC16"/>
    <mergeCell ref="AR9:BC9"/>
    <mergeCell ref="AR10:BC10"/>
    <mergeCell ref="AR11:BC11"/>
    <mergeCell ref="AR12:BC12"/>
    <mergeCell ref="AT2:BC2"/>
    <mergeCell ref="AT1:BC1"/>
    <mergeCell ref="AP1:AS1"/>
    <mergeCell ref="AP2:AS2"/>
    <mergeCell ref="AR13:BC13"/>
    <mergeCell ref="AR14:BC14"/>
    <mergeCell ref="AR5:BC5"/>
    <mergeCell ref="AR6:BC6"/>
    <mergeCell ref="AR7:BC7"/>
    <mergeCell ref="AR8:BC8"/>
    <mergeCell ref="AJ15:AQ15"/>
    <mergeCell ref="AB14:AI14"/>
    <mergeCell ref="AB15:AI15"/>
    <mergeCell ref="U9:AA9"/>
    <mergeCell ref="U10:AA10"/>
    <mergeCell ref="AJ9:AQ9"/>
    <mergeCell ref="AJ10:AQ10"/>
    <mergeCell ref="AJ11:AQ11"/>
    <mergeCell ref="AR15:BC15"/>
    <mergeCell ref="AB5:AI5"/>
    <mergeCell ref="AB6:AI6"/>
    <mergeCell ref="AB7:AI7"/>
    <mergeCell ref="U7:AA7"/>
    <mergeCell ref="U8:AA8"/>
    <mergeCell ref="AB16:AI16"/>
    <mergeCell ref="AB8:AI8"/>
    <mergeCell ref="AJ13:AQ13"/>
    <mergeCell ref="AJ14:AQ14"/>
    <mergeCell ref="AB9:AI9"/>
    <mergeCell ref="AB10:AI10"/>
    <mergeCell ref="AB11:AI11"/>
    <mergeCell ref="AB12:AI12"/>
    <mergeCell ref="AJ12:AQ12"/>
    <mergeCell ref="AJ16:AQ16"/>
    <mergeCell ref="AJ6:AQ6"/>
    <mergeCell ref="AJ7:AQ7"/>
    <mergeCell ref="AJ8:AQ8"/>
    <mergeCell ref="U11:AA11"/>
    <mergeCell ref="U12:AA12"/>
    <mergeCell ref="U13:AA13"/>
    <mergeCell ref="U14:AA14"/>
    <mergeCell ref="U15:AA15"/>
    <mergeCell ref="AB13:AI13"/>
    <mergeCell ref="AF1:AO1"/>
    <mergeCell ref="AB1:AE1"/>
    <mergeCell ref="AB2:AE2"/>
    <mergeCell ref="AJ5:AQ5"/>
    <mergeCell ref="B23:K23"/>
    <mergeCell ref="Q5:R5"/>
    <mergeCell ref="AF2:AO2"/>
    <mergeCell ref="U5:AA5"/>
    <mergeCell ref="S5:T5"/>
    <mergeCell ref="N2:Q2"/>
    <mergeCell ref="B12:K12"/>
    <mergeCell ref="B13:K13"/>
    <mergeCell ref="L15:P15"/>
    <mergeCell ref="L16:P16"/>
    <mergeCell ref="B6:K6"/>
    <mergeCell ref="B7:K7"/>
    <mergeCell ref="B10:K10"/>
    <mergeCell ref="B11:K11"/>
    <mergeCell ref="B8:K8"/>
    <mergeCell ref="B9:K9"/>
    <mergeCell ref="L10:P10"/>
    <mergeCell ref="L11:P11"/>
    <mergeCell ref="L12:P12"/>
    <mergeCell ref="L13:P13"/>
    <mergeCell ref="L5:P5"/>
    <mergeCell ref="S29:T29"/>
    <mergeCell ref="S25:T25"/>
    <mergeCell ref="U25:AA25"/>
    <mergeCell ref="AB25:AI25"/>
    <mergeCell ref="S27:T27"/>
    <mergeCell ref="U27:AA27"/>
    <mergeCell ref="AB27:AI27"/>
    <mergeCell ref="U29:AA29"/>
    <mergeCell ref="L6:P6"/>
    <mergeCell ref="L7:P7"/>
    <mergeCell ref="L8:P8"/>
    <mergeCell ref="L9:P9"/>
    <mergeCell ref="Q10:R10"/>
    <mergeCell ref="Q11:R11"/>
    <mergeCell ref="Q12:R12"/>
    <mergeCell ref="Q13:R13"/>
    <mergeCell ref="Q6:R6"/>
    <mergeCell ref="Q7:R7"/>
    <mergeCell ref="Q8:R8"/>
    <mergeCell ref="Q9:R9"/>
    <mergeCell ref="U16:AA16"/>
    <mergeCell ref="U17:AA17"/>
    <mergeCell ref="Q27:R27"/>
    <mergeCell ref="Q25:R25"/>
    <mergeCell ref="AB29:AI29"/>
    <mergeCell ref="U24:AA24"/>
    <mergeCell ref="AB24:AI24"/>
    <mergeCell ref="AJ24:AQ24"/>
    <mergeCell ref="AR24:BC24"/>
    <mergeCell ref="B29:K29"/>
    <mergeCell ref="L29:P29"/>
    <mergeCell ref="Q29:R29"/>
    <mergeCell ref="B25:K25"/>
    <mergeCell ref="B26:K26"/>
    <mergeCell ref="S24:T24"/>
    <mergeCell ref="L24:P24"/>
    <mergeCell ref="AR25:BC25"/>
    <mergeCell ref="Q24:R24"/>
    <mergeCell ref="L26:P26"/>
    <mergeCell ref="Q26:R26"/>
    <mergeCell ref="S26:T26"/>
    <mergeCell ref="U26:AA26"/>
    <mergeCell ref="AB26:AI26"/>
    <mergeCell ref="AJ26:AQ26"/>
    <mergeCell ref="AR26:BC26"/>
    <mergeCell ref="AJ25:AQ25"/>
    <mergeCell ref="AJ27:AQ27"/>
    <mergeCell ref="B14:K14"/>
    <mergeCell ref="L14:P14"/>
    <mergeCell ref="B15:K15"/>
    <mergeCell ref="B16:K16"/>
    <mergeCell ref="B21:K21"/>
    <mergeCell ref="B17:K17"/>
    <mergeCell ref="B18:K18"/>
    <mergeCell ref="L21:P21"/>
    <mergeCell ref="B27:K27"/>
    <mergeCell ref="L27:P27"/>
    <mergeCell ref="B20:K20"/>
    <mergeCell ref="L20:P20"/>
    <mergeCell ref="B22:K22"/>
    <mergeCell ref="L22:P22"/>
    <mergeCell ref="B24:K24"/>
    <mergeCell ref="L25:P25"/>
    <mergeCell ref="AR17:BC17"/>
    <mergeCell ref="AR18:BC18"/>
    <mergeCell ref="L17:P17"/>
    <mergeCell ref="L18:P18"/>
    <mergeCell ref="Q18:R18"/>
    <mergeCell ref="S18:T18"/>
    <mergeCell ref="S17:T17"/>
    <mergeCell ref="AB18:AI18"/>
    <mergeCell ref="AB17:AI17"/>
    <mergeCell ref="U18:AA18"/>
    <mergeCell ref="AJ17:AQ17"/>
    <mergeCell ref="AJ18:AQ18"/>
  </mergeCells>
  <phoneticPr fontId="2"/>
  <dataValidations count="1">
    <dataValidation type="list" allowBlank="1" showInputMessage="1" showErrorMessage="1" sqref="Q6:R53">
      <formula1>"〇,△,　"</formula1>
    </dataValidation>
  </dataValidations>
  <pageMargins left="0.59055118110236227" right="0.39370078740157483" top="0.59055118110236227" bottom="0.59055118110236227" header="0.39370078740157483" footer="0.39370078740157483"/>
  <pageSetup paperSize="9" scale="95" orientation="landscape" horizontalDpi="0" verticalDpi="0" r:id="rId1"/>
  <headerFooter alignWithMargins="0">
    <oddFooter>&amp;C&amp;8- &amp;P-1 -&amp;R&amp;"明朝,標準"&amp;8Copyright © 2007 sample Corporation. All Rights Reserved.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A80"/>
  <sheetViews>
    <sheetView workbookViewId="0">
      <pane ySplit="3" topLeftCell="A22" activePane="bottomLeft" state="frozen"/>
      <selection sqref="A1:K2"/>
      <selection pane="bottomLeft" activeCell="U64" sqref="U64:AN65"/>
    </sheetView>
  </sheetViews>
  <sheetFormatPr defaultColWidth="2.625" defaultRowHeight="10.5"/>
  <cols>
    <col min="1" max="16384" width="2.625" style="1"/>
  </cols>
  <sheetData>
    <row r="1" spans="1:52" ht="11.25" thickTop="1">
      <c r="A1" s="77" t="s">
        <v>5</v>
      </c>
      <c r="B1" s="78"/>
      <c r="C1" s="78"/>
      <c r="D1" s="78"/>
      <c r="E1" s="78"/>
      <c r="F1" s="78"/>
      <c r="G1" s="78"/>
      <c r="H1" s="78"/>
      <c r="I1" s="78"/>
      <c r="J1" s="79"/>
      <c r="K1" s="75" t="s">
        <v>3</v>
      </c>
      <c r="L1" s="75"/>
      <c r="M1" s="75"/>
      <c r="N1" s="75"/>
      <c r="O1" s="83" t="str">
        <f>IF(ISBLANK(表紙!AL43),"",(表紙!AL43))</f>
        <v>画面名</v>
      </c>
      <c r="P1" s="83"/>
      <c r="Q1" s="83"/>
      <c r="R1" s="83"/>
      <c r="S1" s="83"/>
      <c r="T1" s="83"/>
      <c r="U1" s="83"/>
      <c r="V1" s="83"/>
      <c r="W1" s="83"/>
      <c r="X1" s="83"/>
      <c r="Y1" s="75" t="s">
        <v>13</v>
      </c>
      <c r="Z1" s="75"/>
      <c r="AA1" s="75"/>
      <c r="AB1" s="75"/>
      <c r="AC1" s="89" t="str">
        <f>IF(ISBLANK(表紙!AL39),"",(表紙!AL39))</f>
        <v>saitama_ict_practice_project</v>
      </c>
      <c r="AD1" s="89"/>
      <c r="AE1" s="89"/>
      <c r="AF1" s="89"/>
      <c r="AG1" s="89"/>
      <c r="AH1" s="89"/>
      <c r="AI1" s="89"/>
      <c r="AJ1" s="89"/>
      <c r="AK1" s="89"/>
      <c r="AL1" s="89"/>
      <c r="AM1" s="75" t="s">
        <v>1</v>
      </c>
      <c r="AN1" s="75"/>
      <c r="AO1" s="75"/>
      <c r="AP1" s="75"/>
      <c r="AQ1" s="85">
        <f>IF(ISBLANK(表紙!AL47),"",(表紙!AL47))</f>
        <v>43696</v>
      </c>
      <c r="AR1" s="85"/>
      <c r="AS1" s="85"/>
      <c r="AT1" s="85"/>
      <c r="AU1" s="85"/>
      <c r="AV1" s="85"/>
      <c r="AW1" s="85"/>
      <c r="AX1" s="85"/>
      <c r="AY1" s="85"/>
      <c r="AZ1" s="86"/>
    </row>
    <row r="2" spans="1:52" ht="11.25" thickBot="1">
      <c r="A2" s="80"/>
      <c r="B2" s="81"/>
      <c r="C2" s="81"/>
      <c r="D2" s="81"/>
      <c r="E2" s="81"/>
      <c r="F2" s="81"/>
      <c r="G2" s="81"/>
      <c r="H2" s="81"/>
      <c r="I2" s="81"/>
      <c r="J2" s="82"/>
      <c r="K2" s="76" t="s">
        <v>4</v>
      </c>
      <c r="L2" s="76"/>
      <c r="M2" s="76"/>
      <c r="N2" s="76"/>
      <c r="O2" s="84" t="str">
        <f>IF(ISBLANK(表紙!AL45),"",(表紙!AL45))</f>
        <v>プログラムの時に記載する識別名（機能の英名先頭３文字+01）</v>
      </c>
      <c r="P2" s="84"/>
      <c r="Q2" s="84"/>
      <c r="R2" s="84"/>
      <c r="S2" s="84"/>
      <c r="T2" s="84"/>
      <c r="U2" s="84"/>
      <c r="V2" s="84"/>
      <c r="W2" s="84"/>
      <c r="X2" s="84"/>
      <c r="Y2" s="76" t="s">
        <v>0</v>
      </c>
      <c r="Z2" s="76"/>
      <c r="AA2" s="76"/>
      <c r="AB2" s="76"/>
      <c r="AC2" s="90" t="str">
        <f>IF(ISBLANK(表紙!AL41),"",(表紙!AL41))</f>
        <v>【訓練生用】Webアプリ開発</v>
      </c>
      <c r="AD2" s="90"/>
      <c r="AE2" s="90"/>
      <c r="AF2" s="90"/>
      <c r="AG2" s="90"/>
      <c r="AH2" s="90"/>
      <c r="AI2" s="90"/>
      <c r="AJ2" s="90"/>
      <c r="AK2" s="90"/>
      <c r="AL2" s="90"/>
      <c r="AM2" s="76" t="s">
        <v>27</v>
      </c>
      <c r="AN2" s="76"/>
      <c r="AO2" s="76"/>
      <c r="AP2" s="76"/>
      <c r="AQ2" s="87" t="str">
        <f>IF(ISBLANK(表紙!AL49),"",(表紙!AL49))</f>
        <v/>
      </c>
      <c r="AR2" s="87"/>
      <c r="AS2" s="87"/>
      <c r="AT2" s="87"/>
      <c r="AU2" s="87"/>
      <c r="AV2" s="87"/>
      <c r="AW2" s="87"/>
      <c r="AX2" s="87"/>
      <c r="AY2" s="87"/>
      <c r="AZ2" s="88"/>
    </row>
    <row r="3" spans="1:52" ht="11.25" thickTop="1">
      <c r="B3" s="2"/>
    </row>
    <row r="4" spans="1:52">
      <c r="A4" s="15" t="s">
        <v>26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7"/>
    </row>
    <row r="5" spans="1:52">
      <c r="A5" s="55" t="s">
        <v>49</v>
      </c>
      <c r="B5" s="27"/>
      <c r="C5" s="27" t="s">
        <v>51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8"/>
    </row>
    <row r="6" spans="1:52">
      <c r="A6" s="58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>
      <c r="A7" s="58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>
      <c r="A8" s="58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>
      <c r="A9" s="58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>
      <c r="A10" s="58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>
      <c r="A11" s="58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>
      <c r="A12" s="58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>
      <c r="A13" s="58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>
      <c r="A14" s="58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>
      <c r="A15" s="58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7" spans="1:52">
      <c r="A17" s="57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29"/>
    </row>
    <row r="18" spans="1:52">
      <c r="A18" s="57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29"/>
    </row>
    <row r="19" spans="1:52">
      <c r="A19" s="57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29"/>
    </row>
    <row r="20" spans="1:52">
      <c r="A20" s="57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29"/>
    </row>
    <row r="21" spans="1:52">
      <c r="A21" s="57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29"/>
    </row>
    <row r="22" spans="1:52">
      <c r="A22" s="5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29"/>
    </row>
    <row r="23" spans="1:52">
      <c r="A23" s="57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29"/>
    </row>
    <row r="24" spans="1:52">
      <c r="A24" s="57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29"/>
    </row>
    <row r="25" spans="1:52">
      <c r="A25" s="12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29"/>
    </row>
    <row r="26" spans="1:52">
      <c r="A26" s="15" t="s">
        <v>52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7"/>
    </row>
    <row r="27" spans="1:52">
      <c r="A27" s="55" t="s">
        <v>49</v>
      </c>
      <c r="B27" s="27"/>
      <c r="C27" s="27" t="s">
        <v>53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</row>
    <row r="28" spans="1:52">
      <c r="A28" s="12"/>
      <c r="B28" s="13"/>
      <c r="C28" s="13"/>
      <c r="D28" s="13" t="s">
        <v>54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29"/>
    </row>
    <row r="29" spans="1:52">
      <c r="A29" s="12"/>
      <c r="B29" s="13"/>
      <c r="C29" s="13"/>
      <c r="D29" s="13"/>
      <c r="E29" s="13" t="s">
        <v>55</v>
      </c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29"/>
    </row>
    <row r="30" spans="1:52">
      <c r="A30" s="12"/>
      <c r="B30" s="13"/>
      <c r="C30" s="13"/>
      <c r="D30" s="13" t="s">
        <v>56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29"/>
    </row>
    <row r="31" spans="1:52">
      <c r="A31" s="12"/>
      <c r="B31" s="13"/>
      <c r="C31" s="13"/>
      <c r="D31" s="13"/>
      <c r="E31" s="13" t="s">
        <v>57</v>
      </c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29"/>
    </row>
    <row r="32" spans="1:52">
      <c r="A32" s="12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9"/>
    </row>
    <row r="33" spans="1:53">
      <c r="A33" s="15" t="s">
        <v>39</v>
      </c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7"/>
    </row>
    <row r="34" spans="1:5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9"/>
    </row>
    <row r="35" spans="1:53">
      <c r="A35" s="13"/>
      <c r="B35" s="13" t="s">
        <v>82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31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9"/>
    </row>
    <row r="36" spans="1:53">
      <c r="A36" s="13"/>
      <c r="B36" s="13" t="s">
        <v>83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9"/>
    </row>
    <row r="37" spans="1:5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31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9"/>
    </row>
    <row r="38" spans="1:5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31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9"/>
      <c r="BA38" s="36"/>
    </row>
    <row r="39" spans="1:53">
      <c r="A39" s="13"/>
      <c r="B39" s="145" t="s">
        <v>75</v>
      </c>
      <c r="C39" s="145"/>
      <c r="D39" s="145"/>
      <c r="E39" s="145" t="s">
        <v>50</v>
      </c>
      <c r="F39" s="145"/>
      <c r="G39" s="145"/>
      <c r="H39" s="145"/>
      <c r="I39" s="145"/>
      <c r="J39" s="145" t="s">
        <v>76</v>
      </c>
      <c r="K39" s="145"/>
      <c r="L39" s="145"/>
      <c r="M39" s="145"/>
      <c r="N39" s="145"/>
      <c r="O39" s="145"/>
      <c r="P39" s="145"/>
      <c r="Q39" s="145" t="s">
        <v>78</v>
      </c>
      <c r="R39" s="145"/>
      <c r="S39" s="145"/>
      <c r="T39" s="145"/>
      <c r="U39" s="146" t="s">
        <v>77</v>
      </c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8"/>
      <c r="AR39" s="36"/>
      <c r="AZ39" s="37"/>
      <c r="BA39" s="36"/>
    </row>
    <row r="40" spans="1:53" ht="10.5" customHeight="1">
      <c r="A40" s="12"/>
      <c r="B40" s="149" t="s">
        <v>69</v>
      </c>
      <c r="C40" s="149"/>
      <c r="D40" s="149"/>
      <c r="E40" s="132" t="s">
        <v>60</v>
      </c>
      <c r="F40" s="132"/>
      <c r="G40" s="132"/>
      <c r="H40" s="132"/>
      <c r="I40" s="132"/>
      <c r="J40" s="132" t="s">
        <v>46</v>
      </c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3" t="s">
        <v>80</v>
      </c>
      <c r="V40" s="134"/>
      <c r="W40" s="13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5"/>
      <c r="AR40" s="36"/>
      <c r="AZ40" s="37"/>
    </row>
    <row r="41" spans="1:53">
      <c r="A41" s="12"/>
      <c r="B41" s="149"/>
      <c r="C41" s="149"/>
      <c r="D41" s="149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6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8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9"/>
    </row>
    <row r="42" spans="1:53" ht="10.5" customHeight="1">
      <c r="A42" s="35"/>
      <c r="B42" s="149" t="s">
        <v>70</v>
      </c>
      <c r="C42" s="149"/>
      <c r="D42" s="149"/>
      <c r="E42" s="132" t="s">
        <v>61</v>
      </c>
      <c r="F42" s="132"/>
      <c r="G42" s="132"/>
      <c r="H42" s="132"/>
      <c r="I42" s="132"/>
      <c r="J42" s="132" t="s">
        <v>46</v>
      </c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3" t="s">
        <v>79</v>
      </c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5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7"/>
    </row>
    <row r="43" spans="1:53">
      <c r="A43" s="35"/>
      <c r="B43" s="149"/>
      <c r="C43" s="149"/>
      <c r="D43" s="149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6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8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7"/>
    </row>
    <row r="44" spans="1:53" ht="10.5" customHeight="1">
      <c r="A44" s="35"/>
      <c r="B44" s="149" t="s">
        <v>71</v>
      </c>
      <c r="C44" s="149"/>
      <c r="D44" s="149"/>
      <c r="E44" s="132" t="s">
        <v>62</v>
      </c>
      <c r="F44" s="132"/>
      <c r="G44" s="132"/>
      <c r="H44" s="132"/>
      <c r="I44" s="132"/>
      <c r="J44" s="132" t="s">
        <v>48</v>
      </c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3" t="s">
        <v>85</v>
      </c>
      <c r="V44" s="134"/>
      <c r="W44" s="134"/>
      <c r="X44" s="1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5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7"/>
    </row>
    <row r="45" spans="1:53">
      <c r="A45" s="35"/>
      <c r="B45" s="149"/>
      <c r="C45" s="149"/>
      <c r="D45" s="149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6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8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7"/>
    </row>
    <row r="46" spans="1:53" ht="10.5" customHeight="1">
      <c r="A46" s="35"/>
      <c r="B46" s="149" t="s">
        <v>72</v>
      </c>
      <c r="C46" s="149"/>
      <c r="D46" s="149"/>
      <c r="E46" s="132" t="s">
        <v>86</v>
      </c>
      <c r="F46" s="132"/>
      <c r="G46" s="132"/>
      <c r="H46" s="132"/>
      <c r="I46" s="132"/>
      <c r="J46" s="132" t="s">
        <v>46</v>
      </c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3" t="s">
        <v>134</v>
      </c>
      <c r="V46" s="134"/>
      <c r="W46" s="134"/>
      <c r="X46" s="134"/>
      <c r="Y46" s="134"/>
      <c r="Z46" s="134"/>
      <c r="AA46" s="134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5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7"/>
    </row>
    <row r="47" spans="1:53">
      <c r="A47" s="35"/>
      <c r="B47" s="149"/>
      <c r="C47" s="149"/>
      <c r="D47" s="149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6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8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7"/>
    </row>
    <row r="48" spans="1:53" ht="10.5" customHeight="1">
      <c r="A48" s="35"/>
      <c r="B48" s="139" t="s">
        <v>73</v>
      </c>
      <c r="C48" s="140"/>
      <c r="D48" s="141"/>
      <c r="E48" s="133" t="s">
        <v>98</v>
      </c>
      <c r="F48" s="134"/>
      <c r="G48" s="134"/>
      <c r="H48" s="134"/>
      <c r="I48" s="135"/>
      <c r="J48" s="133" t="s">
        <v>99</v>
      </c>
      <c r="K48" s="134"/>
      <c r="L48" s="134"/>
      <c r="M48" s="134"/>
      <c r="N48" s="134"/>
      <c r="O48" s="134"/>
      <c r="P48" s="135"/>
      <c r="Q48" s="133"/>
      <c r="R48" s="134"/>
      <c r="S48" s="134"/>
      <c r="T48" s="135"/>
      <c r="U48" s="133" t="s">
        <v>100</v>
      </c>
      <c r="V48" s="134"/>
      <c r="W48" s="134"/>
      <c r="X48" s="134"/>
      <c r="Y48" s="134"/>
      <c r="Z48" s="134"/>
      <c r="AA48" s="134"/>
      <c r="AB48" s="134"/>
      <c r="AC48" s="134"/>
      <c r="AD48" s="134"/>
      <c r="AE48" s="134"/>
      <c r="AF48" s="134"/>
      <c r="AG48" s="134"/>
      <c r="AH48" s="134"/>
      <c r="AI48" s="134"/>
      <c r="AJ48" s="134"/>
      <c r="AK48" s="134"/>
      <c r="AL48" s="134"/>
      <c r="AM48" s="134"/>
      <c r="AN48" s="135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7"/>
    </row>
    <row r="49" spans="1:52">
      <c r="A49" s="35"/>
      <c r="B49" s="142"/>
      <c r="C49" s="143"/>
      <c r="D49" s="144"/>
      <c r="E49" s="136"/>
      <c r="F49" s="137"/>
      <c r="G49" s="137"/>
      <c r="H49" s="137"/>
      <c r="I49" s="138"/>
      <c r="J49" s="136"/>
      <c r="K49" s="137"/>
      <c r="L49" s="137"/>
      <c r="M49" s="137"/>
      <c r="N49" s="137"/>
      <c r="O49" s="137"/>
      <c r="P49" s="138"/>
      <c r="Q49" s="136"/>
      <c r="R49" s="137"/>
      <c r="S49" s="137"/>
      <c r="T49" s="138"/>
      <c r="U49" s="136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8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7"/>
    </row>
    <row r="50" spans="1:52" ht="10.5" customHeight="1">
      <c r="A50" s="35"/>
      <c r="B50" s="139" t="s">
        <v>74</v>
      </c>
      <c r="C50" s="140"/>
      <c r="D50" s="141"/>
      <c r="E50" s="133" t="s">
        <v>90</v>
      </c>
      <c r="F50" s="134"/>
      <c r="G50" s="134"/>
      <c r="H50" s="134"/>
      <c r="I50" s="135"/>
      <c r="J50" s="133" t="s">
        <v>96</v>
      </c>
      <c r="K50" s="134"/>
      <c r="L50" s="134"/>
      <c r="M50" s="134"/>
      <c r="N50" s="134"/>
      <c r="O50" s="134"/>
      <c r="P50" s="135"/>
      <c r="Q50" s="133"/>
      <c r="R50" s="134"/>
      <c r="S50" s="134"/>
      <c r="T50" s="135"/>
      <c r="U50" s="133" t="s">
        <v>97</v>
      </c>
      <c r="V50" s="134"/>
      <c r="W50" s="134"/>
      <c r="X50" s="134"/>
      <c r="Y50" s="134"/>
      <c r="Z50" s="134"/>
      <c r="AA50" s="134"/>
      <c r="AB50" s="134"/>
      <c r="AC50" s="134"/>
      <c r="AD50" s="134"/>
      <c r="AE50" s="134"/>
      <c r="AF50" s="134"/>
      <c r="AG50" s="134"/>
      <c r="AH50" s="134"/>
      <c r="AI50" s="134"/>
      <c r="AJ50" s="134"/>
      <c r="AK50" s="134"/>
      <c r="AL50" s="134"/>
      <c r="AM50" s="134"/>
      <c r="AN50" s="135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7"/>
    </row>
    <row r="51" spans="1:52">
      <c r="A51" s="35"/>
      <c r="B51" s="142"/>
      <c r="C51" s="143"/>
      <c r="D51" s="144"/>
      <c r="E51" s="136"/>
      <c r="F51" s="137"/>
      <c r="G51" s="137"/>
      <c r="H51" s="137"/>
      <c r="I51" s="138"/>
      <c r="J51" s="136"/>
      <c r="K51" s="137"/>
      <c r="L51" s="137"/>
      <c r="M51" s="137"/>
      <c r="N51" s="137"/>
      <c r="O51" s="137"/>
      <c r="P51" s="138"/>
      <c r="Q51" s="136"/>
      <c r="R51" s="137"/>
      <c r="S51" s="137"/>
      <c r="T51" s="138"/>
      <c r="U51" s="136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8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7"/>
    </row>
    <row r="52" spans="1:52" ht="10.5" customHeight="1">
      <c r="A52" s="35"/>
      <c r="B52" s="139" t="s">
        <v>81</v>
      </c>
      <c r="C52" s="140"/>
      <c r="D52" s="141"/>
      <c r="E52" s="133" t="s">
        <v>108</v>
      </c>
      <c r="F52" s="134"/>
      <c r="G52" s="134"/>
      <c r="H52" s="134"/>
      <c r="I52" s="135"/>
      <c r="J52" s="133" t="s">
        <v>46</v>
      </c>
      <c r="K52" s="134"/>
      <c r="L52" s="134"/>
      <c r="M52" s="134"/>
      <c r="N52" s="134"/>
      <c r="O52" s="134"/>
      <c r="P52" s="135"/>
      <c r="Q52" s="133"/>
      <c r="R52" s="134"/>
      <c r="S52" s="134"/>
      <c r="T52" s="135"/>
      <c r="U52" s="133" t="s">
        <v>109</v>
      </c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5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7"/>
    </row>
    <row r="53" spans="1:52">
      <c r="A53" s="35"/>
      <c r="B53" s="142"/>
      <c r="C53" s="143"/>
      <c r="D53" s="144"/>
      <c r="E53" s="136"/>
      <c r="F53" s="137"/>
      <c r="G53" s="137"/>
      <c r="H53" s="137"/>
      <c r="I53" s="138"/>
      <c r="J53" s="136"/>
      <c r="K53" s="137"/>
      <c r="L53" s="137"/>
      <c r="M53" s="137"/>
      <c r="N53" s="137"/>
      <c r="O53" s="137"/>
      <c r="P53" s="138"/>
      <c r="Q53" s="136"/>
      <c r="R53" s="137"/>
      <c r="S53" s="137"/>
      <c r="T53" s="138"/>
      <c r="U53" s="136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8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7"/>
    </row>
    <row r="54" spans="1:52" ht="10.5" customHeight="1">
      <c r="A54" s="35"/>
      <c r="B54" s="139" t="s">
        <v>84</v>
      </c>
      <c r="C54" s="140"/>
      <c r="D54" s="141"/>
      <c r="E54" s="133" t="s">
        <v>68</v>
      </c>
      <c r="F54" s="134"/>
      <c r="G54" s="134"/>
      <c r="H54" s="134"/>
      <c r="I54" s="135"/>
      <c r="J54" s="133" t="s">
        <v>113</v>
      </c>
      <c r="K54" s="134"/>
      <c r="L54" s="134"/>
      <c r="M54" s="134"/>
      <c r="N54" s="134"/>
      <c r="O54" s="134"/>
      <c r="P54" s="135"/>
      <c r="Q54" s="156"/>
      <c r="R54" s="157"/>
      <c r="S54" s="157"/>
      <c r="T54" s="158"/>
      <c r="U54" s="133" t="s">
        <v>144</v>
      </c>
      <c r="V54" s="134"/>
      <c r="W54" s="134"/>
      <c r="X54" s="134"/>
      <c r="Y54" s="134"/>
      <c r="Z54" s="134"/>
      <c r="AA54" s="134"/>
      <c r="AB54" s="134"/>
      <c r="AC54" s="134"/>
      <c r="AD54" s="134"/>
      <c r="AE54" s="134"/>
      <c r="AF54" s="134"/>
      <c r="AG54" s="134"/>
      <c r="AH54" s="134"/>
      <c r="AI54" s="134"/>
      <c r="AJ54" s="134"/>
      <c r="AK54" s="134"/>
      <c r="AL54" s="134"/>
      <c r="AM54" s="134"/>
      <c r="AN54" s="135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7"/>
    </row>
    <row r="55" spans="1:52">
      <c r="A55" s="35"/>
      <c r="B55" s="153"/>
      <c r="C55" s="154"/>
      <c r="D55" s="155"/>
      <c r="E55" s="150"/>
      <c r="F55" s="151"/>
      <c r="G55" s="151"/>
      <c r="H55" s="151"/>
      <c r="I55" s="152"/>
      <c r="J55" s="150"/>
      <c r="K55" s="151"/>
      <c r="L55" s="151"/>
      <c r="M55" s="151"/>
      <c r="N55" s="151"/>
      <c r="O55" s="151"/>
      <c r="P55" s="152"/>
      <c r="Q55" s="159"/>
      <c r="R55" s="160"/>
      <c r="S55" s="160"/>
      <c r="T55" s="161"/>
      <c r="U55" s="150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2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7"/>
    </row>
    <row r="56" spans="1:52" ht="10.5" customHeight="1">
      <c r="A56" s="35"/>
      <c r="B56" s="153"/>
      <c r="C56" s="154"/>
      <c r="D56" s="155"/>
      <c r="E56" s="150"/>
      <c r="F56" s="151"/>
      <c r="G56" s="151"/>
      <c r="H56" s="151"/>
      <c r="I56" s="152"/>
      <c r="J56" s="150"/>
      <c r="K56" s="151"/>
      <c r="L56" s="151"/>
      <c r="M56" s="151"/>
      <c r="N56" s="151"/>
      <c r="O56" s="151"/>
      <c r="P56" s="152"/>
      <c r="Q56" s="159"/>
      <c r="R56" s="160"/>
      <c r="S56" s="160"/>
      <c r="T56" s="161"/>
      <c r="U56" s="150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2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7"/>
    </row>
    <row r="57" spans="1:52">
      <c r="A57" s="35"/>
      <c r="B57" s="142"/>
      <c r="C57" s="143"/>
      <c r="D57" s="144"/>
      <c r="E57" s="136"/>
      <c r="F57" s="137"/>
      <c r="G57" s="137"/>
      <c r="H57" s="137"/>
      <c r="I57" s="138"/>
      <c r="J57" s="136"/>
      <c r="K57" s="137"/>
      <c r="L57" s="137"/>
      <c r="M57" s="137"/>
      <c r="N57" s="137"/>
      <c r="O57" s="137"/>
      <c r="P57" s="138"/>
      <c r="Q57" s="162"/>
      <c r="R57" s="163"/>
      <c r="S57" s="163"/>
      <c r="T57" s="164"/>
      <c r="U57" s="136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8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7"/>
    </row>
    <row r="58" spans="1:52" ht="10.5" customHeight="1">
      <c r="A58" s="35"/>
      <c r="B58" s="139" t="s">
        <v>84</v>
      </c>
      <c r="C58" s="140"/>
      <c r="D58" s="141"/>
      <c r="E58" s="133" t="s">
        <v>110</v>
      </c>
      <c r="F58" s="134"/>
      <c r="G58" s="134"/>
      <c r="H58" s="134"/>
      <c r="I58" s="135"/>
      <c r="J58" s="133" t="s">
        <v>111</v>
      </c>
      <c r="K58" s="134"/>
      <c r="L58" s="134"/>
      <c r="M58" s="134"/>
      <c r="N58" s="134"/>
      <c r="O58" s="134"/>
      <c r="P58" s="135"/>
      <c r="Q58" s="133"/>
      <c r="R58" s="134"/>
      <c r="S58" s="134"/>
      <c r="T58" s="135"/>
      <c r="U58" s="133" t="s">
        <v>112</v>
      </c>
      <c r="V58" s="134"/>
      <c r="W58" s="134"/>
      <c r="X58" s="134"/>
      <c r="Y58" s="134"/>
      <c r="Z58" s="134"/>
      <c r="AA58" s="134"/>
      <c r="AB58" s="134"/>
      <c r="AC58" s="134"/>
      <c r="AD58" s="134"/>
      <c r="AE58" s="134"/>
      <c r="AF58" s="134"/>
      <c r="AG58" s="134"/>
      <c r="AH58" s="134"/>
      <c r="AI58" s="134"/>
      <c r="AJ58" s="134"/>
      <c r="AK58" s="134"/>
      <c r="AL58" s="134"/>
      <c r="AM58" s="134"/>
      <c r="AN58" s="135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7"/>
    </row>
    <row r="59" spans="1:52">
      <c r="A59" s="35"/>
      <c r="B59" s="142"/>
      <c r="C59" s="143"/>
      <c r="D59" s="144"/>
      <c r="E59" s="136"/>
      <c r="F59" s="137"/>
      <c r="G59" s="137"/>
      <c r="H59" s="137"/>
      <c r="I59" s="138"/>
      <c r="J59" s="136"/>
      <c r="K59" s="137"/>
      <c r="L59" s="137"/>
      <c r="M59" s="137"/>
      <c r="N59" s="137"/>
      <c r="O59" s="137"/>
      <c r="P59" s="138"/>
      <c r="Q59" s="136"/>
      <c r="R59" s="137"/>
      <c r="S59" s="137"/>
      <c r="T59" s="138"/>
      <c r="U59" s="136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8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7"/>
    </row>
    <row r="60" spans="1:52" ht="10.5" customHeight="1">
      <c r="A60" s="35"/>
      <c r="B60" s="139" t="s">
        <v>114</v>
      </c>
      <c r="C60" s="140"/>
      <c r="D60" s="141"/>
      <c r="E60" s="133" t="s">
        <v>118</v>
      </c>
      <c r="F60" s="134"/>
      <c r="G60" s="134"/>
      <c r="H60" s="134"/>
      <c r="I60" s="135"/>
      <c r="J60" s="133" t="s">
        <v>119</v>
      </c>
      <c r="K60" s="134"/>
      <c r="L60" s="134"/>
      <c r="M60" s="134"/>
      <c r="N60" s="134"/>
      <c r="O60" s="134"/>
      <c r="P60" s="135"/>
      <c r="Q60" s="133"/>
      <c r="R60" s="134"/>
      <c r="S60" s="134"/>
      <c r="T60" s="135"/>
      <c r="U60" s="133" t="s">
        <v>120</v>
      </c>
      <c r="V60" s="134"/>
      <c r="W60" s="134"/>
      <c r="X60" s="134"/>
      <c r="Y60" s="134"/>
      <c r="Z60" s="134"/>
      <c r="AA60" s="134"/>
      <c r="AB60" s="134"/>
      <c r="AC60" s="134"/>
      <c r="AD60" s="134"/>
      <c r="AE60" s="134"/>
      <c r="AF60" s="134"/>
      <c r="AG60" s="134"/>
      <c r="AH60" s="134"/>
      <c r="AI60" s="134"/>
      <c r="AJ60" s="134"/>
      <c r="AK60" s="134"/>
      <c r="AL60" s="134"/>
      <c r="AM60" s="134"/>
      <c r="AN60" s="135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7"/>
    </row>
    <row r="61" spans="1:52">
      <c r="A61" s="35"/>
      <c r="B61" s="142"/>
      <c r="C61" s="143"/>
      <c r="D61" s="144"/>
      <c r="E61" s="136"/>
      <c r="F61" s="137"/>
      <c r="G61" s="137"/>
      <c r="H61" s="137"/>
      <c r="I61" s="138"/>
      <c r="J61" s="136"/>
      <c r="K61" s="137"/>
      <c r="L61" s="137"/>
      <c r="M61" s="137"/>
      <c r="N61" s="137"/>
      <c r="O61" s="137"/>
      <c r="P61" s="138"/>
      <c r="Q61" s="136"/>
      <c r="R61" s="137"/>
      <c r="S61" s="137"/>
      <c r="T61" s="138"/>
      <c r="U61" s="136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8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7"/>
    </row>
    <row r="62" spans="1:52" ht="10.5" customHeight="1">
      <c r="A62" s="35"/>
      <c r="B62" s="139" t="s">
        <v>115</v>
      </c>
      <c r="C62" s="140"/>
      <c r="D62" s="141"/>
      <c r="E62" s="133" t="s">
        <v>121</v>
      </c>
      <c r="F62" s="134"/>
      <c r="G62" s="134"/>
      <c r="H62" s="134"/>
      <c r="I62" s="135"/>
      <c r="J62" s="133" t="s">
        <v>122</v>
      </c>
      <c r="K62" s="134"/>
      <c r="L62" s="134"/>
      <c r="M62" s="134"/>
      <c r="N62" s="134"/>
      <c r="O62" s="134"/>
      <c r="P62" s="135"/>
      <c r="Q62" s="133"/>
      <c r="R62" s="134"/>
      <c r="S62" s="134"/>
      <c r="T62" s="135"/>
      <c r="U62" s="133" t="s">
        <v>135</v>
      </c>
      <c r="V62" s="134"/>
      <c r="W62" s="134"/>
      <c r="X62" s="134"/>
      <c r="Y62" s="134"/>
      <c r="Z62" s="134"/>
      <c r="AA62" s="134"/>
      <c r="AB62" s="134"/>
      <c r="AC62" s="134"/>
      <c r="AD62" s="134"/>
      <c r="AE62" s="134"/>
      <c r="AF62" s="134"/>
      <c r="AG62" s="134"/>
      <c r="AH62" s="134"/>
      <c r="AI62" s="134"/>
      <c r="AJ62" s="134"/>
      <c r="AK62" s="134"/>
      <c r="AL62" s="134"/>
      <c r="AM62" s="134"/>
      <c r="AN62" s="135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7"/>
    </row>
    <row r="63" spans="1:52">
      <c r="A63" s="35"/>
      <c r="B63" s="142"/>
      <c r="C63" s="143"/>
      <c r="D63" s="144"/>
      <c r="E63" s="136"/>
      <c r="F63" s="137"/>
      <c r="G63" s="137"/>
      <c r="H63" s="137"/>
      <c r="I63" s="138"/>
      <c r="J63" s="136"/>
      <c r="K63" s="137"/>
      <c r="L63" s="137"/>
      <c r="M63" s="137"/>
      <c r="N63" s="137"/>
      <c r="O63" s="137"/>
      <c r="P63" s="138"/>
      <c r="Q63" s="136"/>
      <c r="R63" s="137"/>
      <c r="S63" s="137"/>
      <c r="T63" s="138"/>
      <c r="U63" s="136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8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7"/>
    </row>
    <row r="64" spans="1:52" ht="10.5" customHeight="1">
      <c r="A64" s="35"/>
      <c r="B64" s="139" t="s">
        <v>116</v>
      </c>
      <c r="C64" s="140"/>
      <c r="D64" s="141"/>
      <c r="E64" s="133" t="s">
        <v>123</v>
      </c>
      <c r="F64" s="134"/>
      <c r="G64" s="134"/>
      <c r="H64" s="134"/>
      <c r="I64" s="135"/>
      <c r="J64" s="133" t="s">
        <v>124</v>
      </c>
      <c r="K64" s="134"/>
      <c r="L64" s="134"/>
      <c r="M64" s="134"/>
      <c r="N64" s="134"/>
      <c r="O64" s="134"/>
      <c r="P64" s="135"/>
      <c r="Q64" s="133"/>
      <c r="R64" s="134"/>
      <c r="S64" s="134"/>
      <c r="T64" s="135"/>
      <c r="U64" s="133" t="s">
        <v>125</v>
      </c>
      <c r="V64" s="134"/>
      <c r="W64" s="134"/>
      <c r="X64" s="134"/>
      <c r="Y64" s="134"/>
      <c r="Z64" s="134"/>
      <c r="AA64" s="134"/>
      <c r="AB64" s="134"/>
      <c r="AC64" s="134"/>
      <c r="AD64" s="134"/>
      <c r="AE64" s="134"/>
      <c r="AF64" s="134"/>
      <c r="AG64" s="134"/>
      <c r="AH64" s="134"/>
      <c r="AI64" s="134"/>
      <c r="AJ64" s="134"/>
      <c r="AK64" s="134"/>
      <c r="AL64" s="134"/>
      <c r="AM64" s="134"/>
      <c r="AN64" s="135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7"/>
    </row>
    <row r="65" spans="1:52">
      <c r="A65" s="35"/>
      <c r="B65" s="142"/>
      <c r="C65" s="143"/>
      <c r="D65" s="144"/>
      <c r="E65" s="136"/>
      <c r="F65" s="137"/>
      <c r="G65" s="137"/>
      <c r="H65" s="137"/>
      <c r="I65" s="138"/>
      <c r="J65" s="136"/>
      <c r="K65" s="137"/>
      <c r="L65" s="137"/>
      <c r="M65" s="137"/>
      <c r="N65" s="137"/>
      <c r="O65" s="137"/>
      <c r="P65" s="138"/>
      <c r="Q65" s="136"/>
      <c r="R65" s="137"/>
      <c r="S65" s="137"/>
      <c r="T65" s="138"/>
      <c r="U65" s="136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8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7"/>
    </row>
    <row r="66" spans="1:52">
      <c r="A66" s="35"/>
      <c r="B66" s="139" t="s">
        <v>117</v>
      </c>
      <c r="C66" s="140"/>
      <c r="D66" s="141"/>
      <c r="E66" s="133"/>
      <c r="F66" s="134"/>
      <c r="G66" s="134"/>
      <c r="H66" s="134"/>
      <c r="I66" s="135"/>
      <c r="J66" s="133"/>
      <c r="K66" s="134"/>
      <c r="L66" s="134"/>
      <c r="M66" s="134"/>
      <c r="N66" s="134"/>
      <c r="O66" s="134"/>
      <c r="P66" s="135"/>
      <c r="Q66" s="133"/>
      <c r="R66" s="134"/>
      <c r="S66" s="134"/>
      <c r="T66" s="135"/>
      <c r="U66" s="133"/>
      <c r="V66" s="134"/>
      <c r="W66" s="134"/>
      <c r="X66" s="134"/>
      <c r="Y66" s="134"/>
      <c r="Z66" s="134"/>
      <c r="AA66" s="134"/>
      <c r="AB66" s="134"/>
      <c r="AC66" s="134"/>
      <c r="AD66" s="134"/>
      <c r="AE66" s="134"/>
      <c r="AF66" s="134"/>
      <c r="AG66" s="134"/>
      <c r="AH66" s="134"/>
      <c r="AI66" s="134"/>
      <c r="AJ66" s="134"/>
      <c r="AK66" s="134"/>
      <c r="AL66" s="134"/>
      <c r="AM66" s="134"/>
      <c r="AN66" s="135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7"/>
    </row>
    <row r="67" spans="1:52">
      <c r="A67" s="35"/>
      <c r="B67" s="142"/>
      <c r="C67" s="143"/>
      <c r="D67" s="144"/>
      <c r="E67" s="136"/>
      <c r="F67" s="137"/>
      <c r="G67" s="137"/>
      <c r="H67" s="137"/>
      <c r="I67" s="138"/>
      <c r="J67" s="136"/>
      <c r="K67" s="137"/>
      <c r="L67" s="137"/>
      <c r="M67" s="137"/>
      <c r="N67" s="137"/>
      <c r="O67" s="137"/>
      <c r="P67" s="138"/>
      <c r="Q67" s="136"/>
      <c r="R67" s="137"/>
      <c r="S67" s="137"/>
      <c r="T67" s="138"/>
      <c r="U67" s="136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8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7"/>
    </row>
    <row r="68" spans="1:52">
      <c r="A68" s="35"/>
      <c r="B68" s="139"/>
      <c r="C68" s="140"/>
      <c r="D68" s="141"/>
      <c r="E68" s="133"/>
      <c r="F68" s="134"/>
      <c r="G68" s="134"/>
      <c r="H68" s="134"/>
      <c r="I68" s="135"/>
      <c r="J68" s="133"/>
      <c r="K68" s="134"/>
      <c r="L68" s="134"/>
      <c r="M68" s="134"/>
      <c r="N68" s="134"/>
      <c r="O68" s="134"/>
      <c r="P68" s="135"/>
      <c r="Q68" s="133"/>
      <c r="R68" s="134"/>
      <c r="S68" s="134"/>
      <c r="T68" s="135"/>
      <c r="U68" s="133"/>
      <c r="V68" s="134"/>
      <c r="W68" s="134"/>
      <c r="X68" s="134"/>
      <c r="Y68" s="134"/>
      <c r="Z68" s="134"/>
      <c r="AA68" s="134"/>
      <c r="AB68" s="134"/>
      <c r="AC68" s="134"/>
      <c r="AD68" s="134"/>
      <c r="AE68" s="134"/>
      <c r="AF68" s="134"/>
      <c r="AG68" s="134"/>
      <c r="AH68" s="134"/>
      <c r="AI68" s="134"/>
      <c r="AJ68" s="134"/>
      <c r="AK68" s="134"/>
      <c r="AL68" s="134"/>
      <c r="AM68" s="134"/>
      <c r="AN68" s="135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7"/>
    </row>
    <row r="69" spans="1:52">
      <c r="A69" s="35"/>
      <c r="B69" s="142"/>
      <c r="C69" s="143"/>
      <c r="D69" s="144"/>
      <c r="E69" s="136"/>
      <c r="F69" s="137"/>
      <c r="G69" s="137"/>
      <c r="H69" s="137"/>
      <c r="I69" s="138"/>
      <c r="J69" s="136"/>
      <c r="K69" s="137"/>
      <c r="L69" s="137"/>
      <c r="M69" s="137"/>
      <c r="N69" s="137"/>
      <c r="O69" s="137"/>
      <c r="P69" s="138"/>
      <c r="Q69" s="136"/>
      <c r="R69" s="137"/>
      <c r="S69" s="137"/>
      <c r="T69" s="138"/>
      <c r="U69" s="136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8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7"/>
    </row>
    <row r="70" spans="1:52">
      <c r="A70" s="35"/>
      <c r="B70" s="139"/>
      <c r="C70" s="140"/>
      <c r="D70" s="141"/>
      <c r="E70" s="133"/>
      <c r="F70" s="134"/>
      <c r="G70" s="134"/>
      <c r="H70" s="134"/>
      <c r="I70" s="135"/>
      <c r="J70" s="133"/>
      <c r="K70" s="134"/>
      <c r="L70" s="134"/>
      <c r="M70" s="134"/>
      <c r="N70" s="134"/>
      <c r="O70" s="134"/>
      <c r="P70" s="135"/>
      <c r="Q70" s="133"/>
      <c r="R70" s="134"/>
      <c r="S70" s="134"/>
      <c r="T70" s="135"/>
      <c r="U70" s="133"/>
      <c r="V70" s="134"/>
      <c r="W70" s="134"/>
      <c r="X70" s="134"/>
      <c r="Y70" s="134"/>
      <c r="Z70" s="134"/>
      <c r="AA70" s="134"/>
      <c r="AB70" s="134"/>
      <c r="AC70" s="134"/>
      <c r="AD70" s="134"/>
      <c r="AE70" s="134"/>
      <c r="AF70" s="134"/>
      <c r="AG70" s="134"/>
      <c r="AH70" s="134"/>
      <c r="AI70" s="134"/>
      <c r="AJ70" s="134"/>
      <c r="AK70" s="134"/>
      <c r="AL70" s="134"/>
      <c r="AM70" s="134"/>
      <c r="AN70" s="135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7"/>
    </row>
    <row r="71" spans="1:52">
      <c r="A71" s="35"/>
      <c r="B71" s="142"/>
      <c r="C71" s="143"/>
      <c r="D71" s="144"/>
      <c r="E71" s="136"/>
      <c r="F71" s="137"/>
      <c r="G71" s="137"/>
      <c r="H71" s="137"/>
      <c r="I71" s="138"/>
      <c r="J71" s="136"/>
      <c r="K71" s="137"/>
      <c r="L71" s="137"/>
      <c r="M71" s="137"/>
      <c r="N71" s="137"/>
      <c r="O71" s="137"/>
      <c r="P71" s="138"/>
      <c r="Q71" s="136"/>
      <c r="R71" s="137"/>
      <c r="S71" s="137"/>
      <c r="T71" s="138"/>
      <c r="U71" s="136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8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7"/>
    </row>
    <row r="72" spans="1:52">
      <c r="A72" s="35"/>
      <c r="B72" s="139"/>
      <c r="C72" s="140"/>
      <c r="D72" s="141"/>
      <c r="E72" s="133"/>
      <c r="F72" s="134"/>
      <c r="G72" s="134"/>
      <c r="H72" s="134"/>
      <c r="I72" s="135"/>
      <c r="J72" s="133"/>
      <c r="K72" s="134"/>
      <c r="L72" s="134"/>
      <c r="M72" s="134"/>
      <c r="N72" s="134"/>
      <c r="O72" s="134"/>
      <c r="P72" s="135"/>
      <c r="Q72" s="133"/>
      <c r="R72" s="134"/>
      <c r="S72" s="134"/>
      <c r="T72" s="135"/>
      <c r="U72" s="133"/>
      <c r="V72" s="134"/>
      <c r="W72" s="134"/>
      <c r="X72" s="134"/>
      <c r="Y72" s="134"/>
      <c r="Z72" s="134"/>
      <c r="AA72" s="134"/>
      <c r="AB72" s="134"/>
      <c r="AC72" s="134"/>
      <c r="AD72" s="134"/>
      <c r="AE72" s="134"/>
      <c r="AF72" s="134"/>
      <c r="AG72" s="134"/>
      <c r="AH72" s="134"/>
      <c r="AI72" s="134"/>
      <c r="AJ72" s="134"/>
      <c r="AK72" s="134"/>
      <c r="AL72" s="134"/>
      <c r="AM72" s="134"/>
      <c r="AN72" s="135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7"/>
    </row>
    <row r="73" spans="1:52">
      <c r="A73" s="35"/>
      <c r="B73" s="142"/>
      <c r="C73" s="143"/>
      <c r="D73" s="144"/>
      <c r="E73" s="136"/>
      <c r="F73" s="137"/>
      <c r="G73" s="137"/>
      <c r="H73" s="137"/>
      <c r="I73" s="138"/>
      <c r="J73" s="136"/>
      <c r="K73" s="137"/>
      <c r="L73" s="137"/>
      <c r="M73" s="137"/>
      <c r="N73" s="137"/>
      <c r="O73" s="137"/>
      <c r="P73" s="138"/>
      <c r="Q73" s="136"/>
      <c r="R73" s="137"/>
      <c r="S73" s="137"/>
      <c r="T73" s="138"/>
      <c r="U73" s="136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8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7"/>
    </row>
    <row r="74" spans="1:52">
      <c r="A74" s="35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7"/>
    </row>
    <row r="75" spans="1:52">
      <c r="A75" s="35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7"/>
    </row>
    <row r="76" spans="1:52">
      <c r="A76" s="35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7"/>
    </row>
    <row r="77" spans="1:52">
      <c r="A77" s="35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7"/>
    </row>
    <row r="78" spans="1:52">
      <c r="A78" s="35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7"/>
    </row>
    <row r="79" spans="1:52">
      <c r="A79" s="35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7"/>
    </row>
    <row r="80" spans="1:52">
      <c r="A80" s="38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40"/>
    </row>
  </sheetData>
  <mergeCells count="98">
    <mergeCell ref="E54:I57"/>
    <mergeCell ref="B54:D57"/>
    <mergeCell ref="J54:P57"/>
    <mergeCell ref="Q54:T57"/>
    <mergeCell ref="U54:AN57"/>
    <mergeCell ref="B72:D73"/>
    <mergeCell ref="E72:I73"/>
    <mergeCell ref="J72:P73"/>
    <mergeCell ref="Q72:T73"/>
    <mergeCell ref="U72:AN73"/>
    <mergeCell ref="B70:D71"/>
    <mergeCell ref="E70:I71"/>
    <mergeCell ref="J70:P71"/>
    <mergeCell ref="Q70:T71"/>
    <mergeCell ref="U70:AN71"/>
    <mergeCell ref="B68:D69"/>
    <mergeCell ref="E68:I69"/>
    <mergeCell ref="J68:P69"/>
    <mergeCell ref="Q68:T69"/>
    <mergeCell ref="U68:AN69"/>
    <mergeCell ref="B66:D67"/>
    <mergeCell ref="E66:I67"/>
    <mergeCell ref="J66:P67"/>
    <mergeCell ref="Q66:T67"/>
    <mergeCell ref="U66:AN67"/>
    <mergeCell ref="B64:D65"/>
    <mergeCell ref="E64:I65"/>
    <mergeCell ref="J64:P65"/>
    <mergeCell ref="Q64:T65"/>
    <mergeCell ref="U64:AN65"/>
    <mergeCell ref="B62:D63"/>
    <mergeCell ref="E62:I63"/>
    <mergeCell ref="J62:P63"/>
    <mergeCell ref="Q62:T63"/>
    <mergeCell ref="U62:AN63"/>
    <mergeCell ref="B60:D61"/>
    <mergeCell ref="E60:I61"/>
    <mergeCell ref="J60:P61"/>
    <mergeCell ref="Q60:T61"/>
    <mergeCell ref="U60:AN61"/>
    <mergeCell ref="B58:D59"/>
    <mergeCell ref="E58:I59"/>
    <mergeCell ref="J58:P59"/>
    <mergeCell ref="Q58:T59"/>
    <mergeCell ref="U58:AN59"/>
    <mergeCell ref="K1:N1"/>
    <mergeCell ref="K2:N2"/>
    <mergeCell ref="A1:J2"/>
    <mergeCell ref="Y1:AB1"/>
    <mergeCell ref="Y2:AB2"/>
    <mergeCell ref="O1:X1"/>
    <mergeCell ref="O2:X2"/>
    <mergeCell ref="AQ1:AZ1"/>
    <mergeCell ref="AQ2:AZ2"/>
    <mergeCell ref="AC1:AL1"/>
    <mergeCell ref="AC2:AL2"/>
    <mergeCell ref="AM1:AP1"/>
    <mergeCell ref="AM2:AP2"/>
    <mergeCell ref="E40:I41"/>
    <mergeCell ref="E42:I43"/>
    <mergeCell ref="B50:D51"/>
    <mergeCell ref="E39:I39"/>
    <mergeCell ref="B39:D39"/>
    <mergeCell ref="B40:D41"/>
    <mergeCell ref="B42:D43"/>
    <mergeCell ref="B46:D47"/>
    <mergeCell ref="B44:D45"/>
    <mergeCell ref="E46:I47"/>
    <mergeCell ref="E44:I45"/>
    <mergeCell ref="J40:P41"/>
    <mergeCell ref="J42:P43"/>
    <mergeCell ref="U52:AN53"/>
    <mergeCell ref="J39:P39"/>
    <mergeCell ref="U46:AN47"/>
    <mergeCell ref="U48:AN49"/>
    <mergeCell ref="U50:AN51"/>
    <mergeCell ref="Q39:T39"/>
    <mergeCell ref="Q40:T41"/>
    <mergeCell ref="Q42:T43"/>
    <mergeCell ref="Q44:T45"/>
    <mergeCell ref="U39:AN39"/>
    <mergeCell ref="U40:AN41"/>
    <mergeCell ref="U42:AN43"/>
    <mergeCell ref="J46:P47"/>
    <mergeCell ref="J44:P45"/>
    <mergeCell ref="Q46:T47"/>
    <mergeCell ref="Q48:T49"/>
    <mergeCell ref="Q50:T51"/>
    <mergeCell ref="U44:AN45"/>
    <mergeCell ref="B52:D53"/>
    <mergeCell ref="E52:I53"/>
    <mergeCell ref="J52:P53"/>
    <mergeCell ref="Q52:T53"/>
    <mergeCell ref="B48:D49"/>
    <mergeCell ref="E50:I51"/>
    <mergeCell ref="E48:I49"/>
    <mergeCell ref="J50:P51"/>
    <mergeCell ref="J48:P49"/>
  </mergeCells>
  <phoneticPr fontId="2"/>
  <pageMargins left="0.59055118110236227" right="0.39370078740157483" top="0.59055118110236227" bottom="0.59055118110236227" header="0.39370078740157483" footer="0.39370078740157483"/>
  <pageSetup paperSize="9" orientation="landscape" horizontalDpi="4294967294" verticalDpi="360" r:id="rId1"/>
  <headerFooter alignWithMargins="0">
    <oddFooter>&amp;C&amp;8- &amp;P-1 -&amp;R&amp;"明朝,標準"&amp;8Copyright © 2007 sample Corporation. All Rights Reserved.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52"/>
  <sheetViews>
    <sheetView workbookViewId="0">
      <pane ySplit="3" topLeftCell="A4" activePane="bottomLeft" state="frozen"/>
      <selection sqref="A1:K2"/>
      <selection pane="bottomLeft" activeCell="P59" sqref="P59"/>
    </sheetView>
  </sheetViews>
  <sheetFormatPr defaultColWidth="2.625" defaultRowHeight="10.5"/>
  <cols>
    <col min="1" max="16384" width="2.625" style="1"/>
  </cols>
  <sheetData>
    <row r="1" spans="1:52" ht="11.25" thickTop="1">
      <c r="A1" s="165" t="s">
        <v>5</v>
      </c>
      <c r="B1" s="166"/>
      <c r="C1" s="166"/>
      <c r="D1" s="166"/>
      <c r="E1" s="166"/>
      <c r="F1" s="166"/>
      <c r="G1" s="166"/>
      <c r="H1" s="166"/>
      <c r="I1" s="166"/>
      <c r="J1" s="167"/>
      <c r="K1" s="75" t="s">
        <v>3</v>
      </c>
      <c r="L1" s="75"/>
      <c r="M1" s="75"/>
      <c r="N1" s="75"/>
      <c r="O1" s="83" t="str">
        <f>IF(ISBLANK(表紙!AL43),"",(表紙!AL43))</f>
        <v>画面名</v>
      </c>
      <c r="P1" s="83"/>
      <c r="Q1" s="83"/>
      <c r="R1" s="83"/>
      <c r="S1" s="83"/>
      <c r="T1" s="83"/>
      <c r="U1" s="83"/>
      <c r="V1" s="83"/>
      <c r="W1" s="83"/>
      <c r="X1" s="83"/>
      <c r="Y1" s="75" t="s">
        <v>13</v>
      </c>
      <c r="Z1" s="75"/>
      <c r="AA1" s="75"/>
      <c r="AB1" s="75"/>
      <c r="AC1" s="89" t="str">
        <f>IF(ISBLANK(表紙!AL39),"",(表紙!AL39))</f>
        <v>saitama_ict_practice_project</v>
      </c>
      <c r="AD1" s="89"/>
      <c r="AE1" s="89"/>
      <c r="AF1" s="89"/>
      <c r="AG1" s="89"/>
      <c r="AH1" s="89"/>
      <c r="AI1" s="89"/>
      <c r="AJ1" s="89"/>
      <c r="AK1" s="89"/>
      <c r="AL1" s="89"/>
      <c r="AM1" s="75" t="s">
        <v>1</v>
      </c>
      <c r="AN1" s="75"/>
      <c r="AO1" s="75"/>
      <c r="AP1" s="75"/>
      <c r="AQ1" s="85">
        <f>IF(ISBLANK(表紙!AL47),"",(表紙!AL47))</f>
        <v>43696</v>
      </c>
      <c r="AR1" s="85"/>
      <c r="AS1" s="85"/>
      <c r="AT1" s="85"/>
      <c r="AU1" s="85"/>
      <c r="AV1" s="85"/>
      <c r="AW1" s="85"/>
      <c r="AX1" s="85"/>
      <c r="AY1" s="85"/>
      <c r="AZ1" s="86"/>
    </row>
    <row r="2" spans="1:52" ht="11.25" thickBot="1">
      <c r="A2" s="168"/>
      <c r="B2" s="169"/>
      <c r="C2" s="169"/>
      <c r="D2" s="169"/>
      <c r="E2" s="169"/>
      <c r="F2" s="169"/>
      <c r="G2" s="169"/>
      <c r="H2" s="169"/>
      <c r="I2" s="169"/>
      <c r="J2" s="170"/>
      <c r="K2" s="76" t="s">
        <v>4</v>
      </c>
      <c r="L2" s="76"/>
      <c r="M2" s="76"/>
      <c r="N2" s="76"/>
      <c r="O2" s="84" t="str">
        <f>IF(ISBLANK(表紙!AL45),"",(表紙!AL45))</f>
        <v>プログラムの時に記載する識別名（機能の英名先頭３文字+01）</v>
      </c>
      <c r="P2" s="84"/>
      <c r="Q2" s="84"/>
      <c r="R2" s="84"/>
      <c r="S2" s="84"/>
      <c r="T2" s="84"/>
      <c r="U2" s="84"/>
      <c r="V2" s="84"/>
      <c r="W2" s="84"/>
      <c r="X2" s="84"/>
      <c r="Y2" s="76" t="s">
        <v>0</v>
      </c>
      <c r="Z2" s="76"/>
      <c r="AA2" s="76"/>
      <c r="AB2" s="76"/>
      <c r="AC2" s="90" t="str">
        <f>IF(ISBLANK(表紙!AL41),"",(表紙!AL41))</f>
        <v>【訓練生用】Webアプリ開発</v>
      </c>
      <c r="AD2" s="90"/>
      <c r="AE2" s="90"/>
      <c r="AF2" s="90"/>
      <c r="AG2" s="90"/>
      <c r="AH2" s="90"/>
      <c r="AI2" s="90"/>
      <c r="AJ2" s="90"/>
      <c r="AK2" s="90"/>
      <c r="AL2" s="90"/>
      <c r="AM2" s="76" t="s">
        <v>27</v>
      </c>
      <c r="AN2" s="76"/>
      <c r="AO2" s="76"/>
      <c r="AP2" s="76"/>
      <c r="AQ2" s="87" t="str">
        <f>IF(ISBLANK(表紙!AL49),"",(表紙!AL49))</f>
        <v/>
      </c>
      <c r="AR2" s="87"/>
      <c r="AS2" s="87"/>
      <c r="AT2" s="87"/>
      <c r="AU2" s="87"/>
      <c r="AV2" s="87"/>
      <c r="AW2" s="87"/>
      <c r="AX2" s="87"/>
      <c r="AY2" s="87"/>
      <c r="AZ2" s="88"/>
    </row>
    <row r="3" spans="1:52" ht="11.25" thickTop="1">
      <c r="B3" s="2"/>
    </row>
    <row r="4" spans="1:52">
      <c r="A4" s="15" t="s">
        <v>40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7"/>
    </row>
    <row r="5" spans="1:52">
      <c r="A5" s="15" t="s">
        <v>23</v>
      </c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4"/>
    </row>
    <row r="6" spans="1:52">
      <c r="A6" s="26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8"/>
    </row>
    <row r="7" spans="1:52">
      <c r="A7" s="12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29"/>
    </row>
    <row r="8" spans="1:52">
      <c r="A8" s="12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29"/>
    </row>
    <row r="9" spans="1:52">
      <c r="A9" s="12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29"/>
    </row>
    <row r="10" spans="1:52">
      <c r="A10" s="12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29"/>
    </row>
    <row r="11" spans="1:52">
      <c r="A11" s="12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29"/>
    </row>
    <row r="12" spans="1:52">
      <c r="A12" s="12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29"/>
    </row>
    <row r="13" spans="1:52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29"/>
    </row>
    <row r="14" spans="1:52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29"/>
    </row>
    <row r="15" spans="1:52">
      <c r="A15" s="30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2"/>
    </row>
    <row r="16" spans="1:52">
      <c r="A16" s="23" t="s">
        <v>24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5"/>
    </row>
    <row r="17" spans="1:52">
      <c r="A17" s="26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8"/>
    </row>
    <row r="18" spans="1:52">
      <c r="A18" s="12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29"/>
    </row>
    <row r="19" spans="1:52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29"/>
    </row>
    <row r="20" spans="1:52">
      <c r="A20" s="12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29"/>
    </row>
    <row r="21" spans="1:52">
      <c r="A21" s="12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29"/>
    </row>
    <row r="22" spans="1:52">
      <c r="A22" s="12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29"/>
    </row>
    <row r="23" spans="1:52">
      <c r="A23" s="12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29"/>
    </row>
    <row r="24" spans="1:52">
      <c r="A24" s="12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29"/>
    </row>
    <row r="25" spans="1:52">
      <c r="A25" s="12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29"/>
    </row>
    <row r="26" spans="1:52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2"/>
    </row>
    <row r="27" spans="1:52">
      <c r="A27" s="23" t="s">
        <v>25</v>
      </c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5"/>
    </row>
    <row r="28" spans="1:52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</row>
    <row r="29" spans="1:52">
      <c r="A29" s="12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29"/>
    </row>
    <row r="30" spans="1:52">
      <c r="A30" s="12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29"/>
    </row>
    <row r="31" spans="1:52">
      <c r="A31" s="12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29"/>
    </row>
    <row r="32" spans="1:52">
      <c r="A32" s="12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9"/>
    </row>
    <row r="33" spans="1:52">
      <c r="A33" s="12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29"/>
    </row>
    <row r="34" spans="1:52">
      <c r="A34" s="12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9"/>
    </row>
    <row r="35" spans="1:52">
      <c r="A35" s="12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9"/>
    </row>
    <row r="36" spans="1:52">
      <c r="A36" s="12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9"/>
    </row>
    <row r="37" spans="1:52">
      <c r="A37" s="12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9"/>
    </row>
    <row r="38" spans="1:52">
      <c r="A38" s="12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9"/>
    </row>
    <row r="39" spans="1:52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29"/>
    </row>
    <row r="40" spans="1:52">
      <c r="A40" s="12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29"/>
    </row>
    <row r="41" spans="1:52">
      <c r="A41" s="12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9"/>
    </row>
    <row r="42" spans="1:52">
      <c r="A42" s="12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29"/>
    </row>
    <row r="43" spans="1:52">
      <c r="A43" s="12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29"/>
    </row>
    <row r="44" spans="1:52">
      <c r="A44" s="12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29"/>
    </row>
    <row r="45" spans="1:52">
      <c r="A45" s="12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29"/>
    </row>
    <row r="46" spans="1:52">
      <c r="A46" s="12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29"/>
    </row>
    <row r="47" spans="1:52">
      <c r="A47" s="12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29"/>
    </row>
    <row r="48" spans="1:52">
      <c r="A48" s="12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29"/>
    </row>
    <row r="49" spans="1:52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29"/>
    </row>
    <row r="50" spans="1:52">
      <c r="A50" s="12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29"/>
    </row>
    <row r="51" spans="1:52">
      <c r="A51" s="12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29"/>
    </row>
    <row r="52" spans="1:52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2"/>
    </row>
  </sheetData>
  <mergeCells count="13">
    <mergeCell ref="AQ1:AZ1"/>
    <mergeCell ref="AQ2:AZ2"/>
    <mergeCell ref="AC1:AL1"/>
    <mergeCell ref="AC2:AL2"/>
    <mergeCell ref="AM1:AP1"/>
    <mergeCell ref="AM2:AP2"/>
    <mergeCell ref="K1:N1"/>
    <mergeCell ref="K2:N2"/>
    <mergeCell ref="A1:J2"/>
    <mergeCell ref="Y1:AB1"/>
    <mergeCell ref="Y2:AB2"/>
    <mergeCell ref="O1:X1"/>
    <mergeCell ref="O2:X2"/>
  </mergeCells>
  <phoneticPr fontId="2"/>
  <pageMargins left="0.59055118110236227" right="0.39370078740157483" top="0.59055118110236227" bottom="0.59055118110236227" header="0.39370078740157483" footer="0.39370078740157483"/>
  <pageSetup paperSize="9" orientation="landscape" horizontalDpi="0" verticalDpi="0" r:id="rId1"/>
  <headerFooter alignWithMargins="0">
    <oddFooter>&amp;C&amp;8- &amp;P-1 -&amp;R&amp;"明朝,標準"&amp;8Copyright © 2007 sample Corporation. All Rights Reserved.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表紙</vt:lpstr>
      <vt:lpstr>画面イメージ（タイムライン）</vt:lpstr>
      <vt:lpstr>画面イメージ_投稿表示</vt:lpstr>
      <vt:lpstr>改訂履歴</vt:lpstr>
      <vt:lpstr>IO関連</vt:lpstr>
      <vt:lpstr>画面項目</vt:lpstr>
      <vt:lpstr>イベント処理</vt:lpstr>
      <vt:lpstr>DB処理</vt:lpstr>
    </vt:vector>
  </TitlesOfParts>
  <Manager>サンプル管理部</Manager>
  <Company>株式会社サンプル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詳細設計書</dc:title>
  <dc:subject>設計書</dc:subject>
  <dc:creator>サンプル開発部</dc:creator>
  <dc:description>version1.0</dc:description>
  <cp:lastModifiedBy>Administrator</cp:lastModifiedBy>
  <cp:lastPrinted>2019-08-25T15:05:58Z</cp:lastPrinted>
  <dcterms:created xsi:type="dcterms:W3CDTF">2002-02-23T02:02:23Z</dcterms:created>
  <dcterms:modified xsi:type="dcterms:W3CDTF">2019-08-26T06:50:21Z</dcterms:modified>
</cp:coreProperties>
</file>